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cture Plan" sheetId="1" state="visible" r:id="rId3"/>
    <sheet name="Course Outcomes" sheetId="2" state="visible" r:id="rId4"/>
    <sheet name="Session Calendar" sheetId="3" state="visible" r:id="rId5"/>
  </sheets>
  <definedNames>
    <definedName function="false" hidden="false" localSheetId="0" name="_xlnm.Print_Titles" vbProcedure="false">'Lecture Plan'!$13:$13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<sst xmlns="http://schemas.openxmlformats.org/spreadsheetml/2006/main" count="480" uniqueCount="310">
  <si>
    <t xml:space="preserve">HINDU GIRLS COLLEGE, SONIPAT</t>
  </si>
  <si>
    <t xml:space="preserve">Affiliated to MD University, Rohtak, Haryana</t>
  </si>
  <si>
    <t xml:space="preserve">Department of Computer Applications</t>
  </si>
  <si>
    <t xml:space="preserve">COURSE WORK PLAN – LECTURE-WISE SCHEDULE</t>
  </si>
  <si>
    <t xml:space="preserve">Python Programming | MCA Sem II | A.Y. 2026-27 | OBE (Bloom's aligned)</t>
  </si>
  <si>
    <t xml:space="preserve">Programme</t>
  </si>
  <si>
    <t xml:space="preserve">MCA (Master of Computer Applications)</t>
  </si>
  <si>
    <t xml:space="preserve">Semester</t>
  </si>
  <si>
    <t xml:space="preserve">II</t>
  </si>
  <si>
    <t xml:space="preserve">Course</t>
  </si>
  <si>
    <t xml:space="preserve">Python Programming</t>
  </si>
  <si>
    <t xml:space="preserve">Academic Year</t>
  </si>
  <si>
    <t xml:space="preserve">2026-27</t>
  </si>
  <si>
    <t xml:space="preserve">Total Lectures</t>
  </si>
  <si>
    <t xml:space="preserve">Lecture Days</t>
  </si>
  <si>
    <t xml:space="preserve">Monday, Wednesday, Friday</t>
  </si>
  <si>
    <t xml:space="preserve">Course Start Date</t>
  </si>
  <si>
    <t xml:space="preserve">Course End Date</t>
  </si>
  <si>
    <t xml:space="preserve">Faculty</t>
  </si>
  <si>
    <t xml:space="preserve">Dr Pankaj Kumar Jain, Assistant Professor</t>
  </si>
  <si>
    <t xml:space="preserve">Holidays Excluded</t>
  </si>
  <si>
    <t xml:space="preserve">15-Jan-2027 (Sankranti, Fri) falls on a lecture day and is skipped; 14-Jan, 26-Jan, 09-Feb and 02-Mar fall on non-lecture days; 07-Apr falls after the course end date</t>
  </si>
  <si>
    <t xml:space="preserve">S.No</t>
  </si>
  <si>
    <t xml:space="preserve">Date</t>
  </si>
  <si>
    <t xml:space="preserve">Day</t>
  </si>
  <si>
    <t xml:space="preserve">Unit Name</t>
  </si>
  <si>
    <t xml:space="preserve">Topic</t>
  </si>
  <si>
    <t xml:space="preserve">Pedagogy</t>
  </si>
  <si>
    <t xml:space="preserve">Activity</t>
  </si>
  <si>
    <t xml:space="preserve">Assignment</t>
  </si>
  <si>
    <t xml:space="preserve">CO (Bloom's Level)</t>
  </si>
  <si>
    <t xml:space="preserve">UNIT 1: PYTHON FUNDAMENTALS AND CONTROL STRUCTURES | Lectures: 7 | Weightage: 20%</t>
  </si>
  <si>
    <t xml:space="preserve">Python Fundamentals and Control Structures</t>
  </si>
  <si>
    <t xml:space="preserve">Introduction to Python: features, applications, advantages, and limitations; installation, execution environments, interactive mode, and script mode</t>
  </si>
  <si>
    <t xml:space="preserve">Interactive lecture</t>
  </si>
  <si>
    <t xml:space="preserve">Think-pair-share on Python applications; run a first program in both modes</t>
  </si>
  <si>
    <t xml:space="preserve">—</t>
  </si>
  <si>
    <t xml:space="preserve">CO1 (K2)</t>
  </si>
  <si>
    <t xml:space="preserve">Python syntax, indentation, comments, keywords, identifiers, and variables</t>
  </si>
  <si>
    <t xml:space="preserve">Live coding</t>
  </si>
  <si>
    <t xml:space="preserve">Spot-the-error on indentation and identifier snippets</t>
  </si>
  <si>
    <t xml:space="preserve">Data types: numeric, Boolean, string, and None types; type conversion and type checking</t>
  </si>
  <si>
    <t xml:space="preserve">Gamified quiz</t>
  </si>
  <si>
    <t xml:space="preserve">Predict-the-output quiz on type() and conversions</t>
  </si>
  <si>
    <t xml:space="preserve">CO1 (K3)</t>
  </si>
  <si>
    <t xml:space="preserve">Operators: arithmetic, relational, logical, assignment, bitwise, membership, and identity</t>
  </si>
  <si>
    <t xml:space="preserve">Peer instruction</t>
  </si>
  <si>
    <t xml:space="preserve">Concept-test voting on operator precedence and is vs ==</t>
  </si>
  <si>
    <t xml:space="preserve">Input and output operations; formatted output using f-strings; decision-making statements: if, if-else, and nested if</t>
  </si>
  <si>
    <t xml:space="preserve">Pair programming</t>
  </si>
  <si>
    <t xml:space="preserve">Build a formatted bill program with eligibility checks</t>
  </si>
  <si>
    <t xml:space="preserve">Iterative statements: for, while, range(), break, continue, and pass</t>
  </si>
  <si>
    <t xml:space="preserve">Flipped classroom</t>
  </si>
  <si>
    <t xml:space="preserve">Pattern-printing and loop-tracing tasks after a pre-class video</t>
  </si>
  <si>
    <t xml:space="preserve">Basic problem-solving using algorithms and Python programs</t>
  </si>
  <si>
    <t xml:space="preserve">Group discussion</t>
  </si>
  <si>
    <t xml:space="preserve">Algorithm-to-code relay for a given problem</t>
  </si>
  <si>
    <t xml:space="preserve">Write algorithms, flowcharts and Python programs for five problems (prime check, Fibonacci, number patterns, menu-driven calculator, digit sum) [CO1 | K3]</t>
  </si>
  <si>
    <t xml:space="preserve">UNIT 2: DATA STRUCTURES, FUNCTIONS, AND MODULES | Lectures: 7 | Weightage: 20%</t>
  </si>
  <si>
    <t xml:space="preserve">Data Structures, Functions, and Modules</t>
  </si>
  <si>
    <t xml:space="preserve">Strings: indexing, slicing, string operations, formatting, and commonly used methods</t>
  </si>
  <si>
    <t xml:space="preserve">Palindrome check and word count using slicing and methods</t>
  </si>
  <si>
    <t xml:space="preserve">CO2 (K3)</t>
  </si>
  <si>
    <t xml:space="preserve">Lists: creation, indexing, slicing, traversal, methods, and list comprehensions</t>
  </si>
  <si>
    <t xml:space="preserve">Rewrite loops as list comprehensions</t>
  </si>
  <si>
    <t xml:space="preserve">Tuples: creation, operations, packing, and unpacking; Sets: creation, operations, and set methods</t>
  </si>
  <si>
    <t xml:space="preserve">Think-pair-share</t>
  </si>
  <si>
    <t xml:space="preserve">Remove duplicates with sets; match operations to use-cases</t>
  </si>
  <si>
    <t xml:space="preserve">Dictionaries: creation, accessing, updating, deleting, and methods; comparison of built-in data structures and their applications</t>
  </si>
  <si>
    <t xml:space="preserve">Case study</t>
  </si>
  <si>
    <t xml:space="preserve">Choose the right data structure for a student-record scenario</t>
  </si>
  <si>
    <t xml:space="preserve">CO2 (K4)</t>
  </si>
  <si>
    <t xml:space="preserve">Functions: definition, calls, parameters, arguments, return values, and variable scope; argument types: positional, keyword, default, and variable-length arguments</t>
  </si>
  <si>
    <t xml:space="preserve">Modularise a calculator using keyword and default arguments</t>
  </si>
  <si>
    <t xml:space="preserve">Recursive functions, lambda functions, and higher-order functions</t>
  </si>
  <si>
    <t xml:space="preserve">Jigsaw</t>
  </si>
  <si>
    <t xml:space="preserve">Expert groups teach recursion, lambda and map/filter to peers</t>
  </si>
  <si>
    <t xml:space="preserve">Modules and packages: importing, creating user-defined modules, and using standard library modules; commonly used modules: math, random, and datetime</t>
  </si>
  <si>
    <t xml:space="preserve">Demonstration</t>
  </si>
  <si>
    <t xml:space="preserve">Create a user-defined module; number-guessing game using random</t>
  </si>
  <si>
    <t xml:space="preserve">Develop a student/inventory management program using lists, dictionaries, functions and a user-defined module [CO2 | K3]</t>
  </si>
  <si>
    <t xml:space="preserve">UNIT 3: OBJECT-ORIENTED PROGRAMMING AND EXCEPTION HANDLING | Lectures: 7 | Weightage: 20%</t>
  </si>
  <si>
    <t xml:space="preserve">Object-Oriented Programming and Exception Handling</t>
  </si>
  <si>
    <t xml:space="preserve">Introduction to object-oriented programming concepts; classes and objects, attributes and methods</t>
  </si>
  <si>
    <t xml:space="preserve">Model real-world entities (Student, Account) as classes</t>
  </si>
  <si>
    <t xml:space="preserve">CO3 (K2)</t>
  </si>
  <si>
    <t xml:space="preserve">Constructors and the __init__() method; instance variables, class variables, instance methods, class methods, and static methods</t>
  </si>
  <si>
    <t xml:space="preserve">Add parameterised constructors and a class counter to the Student class</t>
  </si>
  <si>
    <t xml:space="preserve">CO3 (K3)</t>
  </si>
  <si>
    <t xml:space="preserve">Encapsulation and data hiding</t>
  </si>
  <si>
    <t xml:space="preserve">Problem-based learning</t>
  </si>
  <si>
    <t xml:space="preserve">Bank account with private balance and getter/setter methods</t>
  </si>
  <si>
    <t xml:space="preserve">Inheritance: single, multiple, multilevel, and hierarchical inheritance; method overriding and polymorphism</t>
  </si>
  <si>
    <t xml:space="preserve">Build a Person-Student-Teacher hierarchy and predict overridden calls</t>
  </si>
  <si>
    <t xml:space="preserve">Abstraction and abstract classes; special methods and operator overloading</t>
  </si>
  <si>
    <t xml:space="preserve">Shape and Vector classes using abc, __add__ and __str__</t>
  </si>
  <si>
    <t xml:space="preserve">CO3 (K4)</t>
  </si>
  <si>
    <t xml:space="preserve">Exception handling: syntax errors and runtime exceptions; handling using try, except, else, and finally</t>
  </si>
  <si>
    <t xml:space="preserve">Debug-the-crash challenge: ZeroDivisionError, ValueError</t>
  </si>
  <si>
    <t xml:space="preserve">Raising exceptions using raise and creating user-defined exceptions</t>
  </si>
  <si>
    <t xml:space="preserve">Add a custom InsufficientBalanceError to the bank account</t>
  </si>
  <si>
    <t xml:space="preserve">Build a library management mini-application using classes, inheritance and custom exception handling [CO3 | K4]</t>
  </si>
  <si>
    <t xml:space="preserve">UNIT 4: FILE HANDLING, DATA PROCESSING, AND PYTHON LIBRARIES | Lectures: 8 | Weightage: 22%</t>
  </si>
  <si>
    <t xml:space="preserve">File Handling, Data Processing, and Python Libraries</t>
  </si>
  <si>
    <t xml:space="preserve">File handling: opening, reading, writing, and closing files; file access modes and file object methods</t>
  </si>
  <si>
    <t xml:space="preserve">Read, write and append a text file; compare r, w and a modes</t>
  </si>
  <si>
    <t xml:space="preserve">CO4 (K3)</t>
  </si>
  <si>
    <t xml:space="preserve">Working with text and binary files; context managers and the with statement</t>
  </si>
  <si>
    <t xml:space="preserve">Copy a binary file using the with statement</t>
  </si>
  <si>
    <t xml:space="preserve">Working with CSV and JSON files using Python modules; introduction to data processing using Python</t>
  </si>
  <si>
    <t xml:space="preserve">Convert a student CSV file to JSON and list data-quality issues</t>
  </si>
  <si>
    <t xml:space="preserve">NumPy: arrays, array creation, indexing, slicing, and basic array operations</t>
  </si>
  <si>
    <t xml:space="preserve">Array slicing drills and list-vs-array comparison</t>
  </si>
  <si>
    <t xml:space="preserve">Pandas: Series and DataFrames</t>
  </si>
  <si>
    <t xml:space="preserve">Build a DataFrame from a dictionary and a CSV file</t>
  </si>
  <si>
    <t xml:space="preserve">Data manipulation using Pandas: selection, filtering, sorting, and handling missing values</t>
  </si>
  <si>
    <t xml:space="preserve">Clean, filter and sort a marks dataset with missing values</t>
  </si>
  <si>
    <t xml:space="preserve">CO4 (K4)</t>
  </si>
  <si>
    <t xml:space="preserve">Data visualization fundamentals using Matplotlib: line plots, bar charts, histograms, and pie charts</t>
  </si>
  <si>
    <t xml:space="preserve">Plot line, bar, histogram and pie charts from marks data</t>
  </si>
  <si>
    <t xml:space="preserve">Introduction to regular expressions using the re module</t>
  </si>
  <si>
    <t xml:space="preserve">Regex puzzle: validate emails and phone numbers, extract dates</t>
  </si>
  <si>
    <t xml:space="preserve">Analyse a CSV dataset using file handling, Pandas, Matplotlib and regular expressions; submit code and a one-page insight note [CO4 | K3]</t>
  </si>
  <si>
    <t xml:space="preserve">UNIT 5: DATABASE CONNECTIVITY, WEB ACCESS, AND APPLICATION DEVELOPMENT | Lectures: 6 | Weightage: 18%</t>
  </si>
  <si>
    <t xml:space="preserve">Database Connectivity, Web Access, and Application Development</t>
  </si>
  <si>
    <t xml:space="preserve">Introduction to relational databases and database connectivity using Python; connecting Python applications to SQLite databases</t>
  </si>
  <si>
    <t xml:space="preserve">Create a sqlite3 connection and inspect the .db file</t>
  </si>
  <si>
    <t xml:space="preserve">CO5 (K2)</t>
  </si>
  <si>
    <t xml:space="preserve">Creating databases and tables; inserting, retrieving, updating, and deleting records; executing SQL queries; transactions, commit, rollback, and connection management</t>
  </si>
  <si>
    <t xml:space="preserve">Menu-driven CRUD program with a rollback demonstration</t>
  </si>
  <si>
    <t xml:space="preserve">CO5 (K3)</t>
  </si>
  <si>
    <t xml:space="preserve">Introduction to APIs and web services; making HTTP requests using the requests library; processing JSON responses from web APIs</t>
  </si>
  <si>
    <t xml:space="preserve">Fetch a public API, inspect status codes and parse the JSON response</t>
  </si>
  <si>
    <t xml:space="preserve">Introduction to Python application development and modular program design</t>
  </si>
  <si>
    <t xml:space="preserve">Decompose the mini-project into modules and plan its structure</t>
  </si>
  <si>
    <t xml:space="preserve">CO5 (K4)</t>
  </si>
  <si>
    <t xml:space="preserve">Basics of unit testing using unittest; introduction to debugging, logging, and code quality practices</t>
  </si>
  <si>
    <t xml:space="preserve">Write test cases, fix seeded bugs and add logging</t>
  </si>
  <si>
    <t xml:space="preserve">Mini-project: design and implement a Python application integrating appropriate syllabus concepts</t>
  </si>
  <si>
    <t xml:space="preserve">Project-based learning</t>
  </si>
  <si>
    <t xml:space="preserve">Mini-project demonstration with peer review</t>
  </si>
  <si>
    <t xml:space="preserve">Mini-project: a Python application integrating OOP, database or file handling, API/JSON processing and unit tests, with demo and report [CO5 | K6]</t>
  </si>
  <si>
    <t xml:space="preserve">CO5 (K6)</t>
  </si>
  <si>
    <t xml:space="preserve">UNIT-WISE SUMMARY</t>
  </si>
  <si>
    <t xml:space="preserve">Unit</t>
  </si>
  <si>
    <t xml:space="preserve">Lectures</t>
  </si>
  <si>
    <t xml:space="preserve">% of Lectures</t>
  </si>
  <si>
    <t xml:space="preserve">Syllabus Weightage</t>
  </si>
  <si>
    <t xml:space="preserve">Unit Start Date</t>
  </si>
  <si>
    <t xml:space="preserve">Unit End Date</t>
  </si>
  <si>
    <t xml:space="preserve">Assignment Date</t>
  </si>
  <si>
    <t xml:space="preserve">COs</t>
  </si>
  <si>
    <t xml:space="preserve">Unit I</t>
  </si>
  <si>
    <t xml:space="preserve">CO1</t>
  </si>
  <si>
    <t xml:space="preserve">Unit II</t>
  </si>
  <si>
    <t xml:space="preserve">CO2</t>
  </si>
  <si>
    <t xml:space="preserve">Unit III</t>
  </si>
  <si>
    <t xml:space="preserve">CO3</t>
  </si>
  <si>
    <t xml:space="preserve">Unit IV</t>
  </si>
  <si>
    <t xml:space="preserve">CO4</t>
  </si>
  <si>
    <t xml:space="preserve">Unit V</t>
  </si>
  <si>
    <t xml:space="preserve">CO5</t>
  </si>
  <si>
    <t xml:space="preserve">TOTAL</t>
  </si>
  <si>
    <t xml:space="preserve">KEY FIGURES</t>
  </si>
  <si>
    <t xml:space="preserve">Total Lectures Scheduled</t>
  </si>
  <si>
    <t xml:space="preserve">Course Start Date (given)</t>
  </si>
  <si>
    <t xml:space="preserve">First Lecture Date</t>
  </si>
  <si>
    <t xml:space="preserve">Calculated Course End Date</t>
  </si>
  <si>
    <t xml:space="preserve">Lecture Days Skipped</t>
  </si>
  <si>
    <t xml:space="preserve">Teaching Span (weeks)</t>
  </si>
  <si>
    <t xml:space="preserve">NOTES</t>
  </si>
  <si>
    <t xml:space="preserve">1. Allocation basis: the syllabus indicates 45 lectures (9 + 9 + 9 + 10 + 8). For the 35 lectures requested, the allocation is scaled in proportion to the syllabus allocation and weightage (7 + 7 + 7 + 8 + 6 = 35), and closely related topics are merged. Every syllabus topic is covered; unit weightage is as given and is indicative.</t>
  </si>
  <si>
    <t xml:space="preserve">2. Assignment rule: one assignment per unit, set on the last lecture of that unit. The Unit V assignment is an integrating mini-project.</t>
  </si>
  <si>
    <t xml:space="preserve">3. Lecture days are Monday, Wednesday and Friday. The commencement date (02-Jan-2027) is a Saturday, so the first lecture falls on Monday, 04-Jan-2027.</t>
  </si>
  <si>
    <t xml:space="preserve">4. Holidays excluded: 14 and 15 Jan (Sankranti), 26 Jan (Republic Day, a national holiday), 09 Feb, 02 Mar and 07 Apr 2027. Only 15-Jan (Fri) falls on a lecture day within the teaching span; 14-Jan, 26-Jan, 09-Feb and 02-Mar fall on non-lecture days, and 07-Apr falls after the course end date.</t>
  </si>
  <si>
    <t xml:space="preserve">5. Course Outcomes are DRAFT: the syllabus does not list COs. They are proposed for faculty confirmation (see the Course Outcomes sheet).</t>
  </si>
  <si>
    <t xml:space="preserve">6. Practical or laboratory hours are not counted separately in the lecture total (as stated in the syllabus).</t>
  </si>
  <si>
    <t xml:space="preserve">7. The Unit-wise Summary and Key Figures recalculate if the lecture dates are edited. The Session Calendar sheet is static and must be updated manually if dates change.</t>
  </si>
  <si>
    <t xml:space="preserve">8. Any other state public holidays notified later by the Haryana Government are not excluded; each one falling on a lecture day shifts the end date by one lecture day.</t>
  </si>
  <si>
    <t xml:space="preserve">Prepared by
Dr Pankaj Kumar Jain
Assistant Professor</t>
  </si>
  <si>
    <t xml:space="preserve">Verified by
HoD, Department of Computer Applications</t>
  </si>
  <si>
    <t xml:space="preserve">Approved by
Dean Academics / Principal</t>
  </si>
  <si>
    <t xml:space="preserve">COURSE OUTCOMES (COs)</t>
  </si>
  <si>
    <t xml:space="preserve">DRAFT – The syllabus does not list Course Outcomes. These are proposed for faculty confirmation before use in NBA/NAAC documentation.</t>
  </si>
  <si>
    <t xml:space="preserve">CO No.</t>
  </si>
  <si>
    <t xml:space="preserve">CO Statement (Students will be able to…)</t>
  </si>
  <si>
    <t xml:space="preserve">Bloom's Level</t>
  </si>
  <si>
    <t xml:space="preserve">Unit(s)</t>
  </si>
  <si>
    <t xml:space="preserve">No. of Lectures</t>
  </si>
  <si>
    <t xml:space="preserve">Apply Python syntax, data types, operators, and control structures to solve basic computational problems.</t>
  </si>
  <si>
    <t xml:space="preserve">K3</t>
  </si>
  <si>
    <t xml:space="preserve">Develop modular Python programs using built-in data structures, functions, and standard modules.</t>
  </si>
  <si>
    <t xml:space="preserve">Analyse problem requirements to implement robust object-oriented programs using classes, inheritance, polymorphism, and exception handling.</t>
  </si>
  <si>
    <t xml:space="preserve">K4</t>
  </si>
  <si>
    <t xml:space="preserve">Analyse and process file-based and tabular data using NumPy, Pandas, Matplotlib, and regular expressions.</t>
  </si>
  <si>
    <t xml:space="preserve">Design and develop a Python application integrating database connectivity, web APIs, and unit testing.</t>
  </si>
  <si>
    <t xml:space="preserve">K6</t>
  </si>
  <si>
    <t xml:space="preserve">BLOOM'S REVISED TAXONOMY – REFERENCE</t>
  </si>
  <si>
    <t xml:space="preserve">Level</t>
  </si>
  <si>
    <t xml:space="preserve">Action verbs</t>
  </si>
  <si>
    <t xml:space="preserve">Category</t>
  </si>
  <si>
    <t xml:space="preserve">K1</t>
  </si>
  <si>
    <t xml:space="preserve">Define, list, recall, state, identify</t>
  </si>
  <si>
    <t xml:space="preserve">Remember</t>
  </si>
  <si>
    <t xml:space="preserve">K2</t>
  </si>
  <si>
    <t xml:space="preserve">Explain, describe, summarise, classify, illustrate</t>
  </si>
  <si>
    <t xml:space="preserve">Understand</t>
  </si>
  <si>
    <t xml:space="preserve">Apply, implement, execute, solve, use</t>
  </si>
  <si>
    <t xml:space="preserve">Apply</t>
  </si>
  <si>
    <t xml:space="preserve">Analyse, differentiate, compare, examine, debug</t>
  </si>
  <si>
    <t xml:space="preserve">Analyse</t>
  </si>
  <si>
    <t xml:space="preserve">K5</t>
  </si>
  <si>
    <t xml:space="preserve">Evaluate, justify, assess, critique, validate</t>
  </si>
  <si>
    <t xml:space="preserve">Evaluate</t>
  </si>
  <si>
    <t xml:space="preserve">Design, develop, construct, formulate, create</t>
  </si>
  <si>
    <t xml:space="preserve">Create</t>
  </si>
  <si>
    <t xml:space="preserve">SESSION CALENDAR</t>
  </si>
  <si>
    <t xml:space="preserve">JANUARY 2027</t>
  </si>
  <si>
    <t xml:space="preserve">FEBRUARY 2027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</si>
  <si>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</si>
  <si>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</si>
  <si>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</si>
  <si>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</si>
  <si>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</si>
  <si>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</si>
  <si>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</si>
  <si>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1</t>
  </si>
  <si>
    <t xml:space="preserve">2
Course start</t>
  </si>
  <si>
    <t xml:space="preserve">3</t>
  </si>
  <si>
    <t xml:space="preserve">1
L12 (U-II)</t>
  </si>
  <si>
    <t xml:space="preserve">2</t>
  </si>
  <si>
    <t xml:space="preserve">3
L13 (U-II)</t>
  </si>
  <si>
    <t xml:space="preserve">4</t>
  </si>
  <si>
    <t xml:space="preserve">5
L14 (U-II)</t>
  </si>
  <si>
    <t xml:space="preserve">6</t>
  </si>
  <si>
    <t xml:space="preserve">7</t>
  </si>
  <si>
    <t xml:space="preserve">4
L1 (U-I)</t>
  </si>
  <si>
    <t xml:space="preserve">5</t>
  </si>
  <si>
    <t xml:space="preserve">6
L2 (U-I)</t>
  </si>
  <si>
    <t xml:space="preserve">8
L3 (U-I)</t>
  </si>
  <si>
    <t xml:space="preserve">9</t>
  </si>
  <si>
    <t xml:space="preserve">10</t>
  </si>
  <si>
    <t xml:space="preserve">8
L15 (U-III)</t>
  </si>
  <si>
    <t xml:space="preserve">9
Holiday</t>
  </si>
  <si>
    <t xml:space="preserve">10
L16 (U-III)</t>
  </si>
  <si>
    <t xml:space="preserve">11</t>
  </si>
  <si>
    <t xml:space="preserve">12
L17 (U-III)</t>
  </si>
  <si>
    <t xml:space="preserve">13</t>
  </si>
  <si>
    <t xml:space="preserve">14</t>
  </si>
  <si>
    <t xml:space="preserve">11
L4 (U-I)</t>
  </si>
  <si>
    <t xml:space="preserve">12</t>
  </si>
  <si>
    <t xml:space="preserve">13
L5 (U-I)</t>
  </si>
  <si>
    <t xml:space="preserve">14
Sankranti</t>
  </si>
  <si>
    <t xml:space="preserve">15
Sankranti</t>
  </si>
  <si>
    <t xml:space="preserve">16</t>
  </si>
  <si>
    <t xml:space="preserve">17</t>
  </si>
  <si>
    <t xml:space="preserve">15
L18 (U-III)</t>
  </si>
  <si>
    <t xml:space="preserve">17
L19 (U-III)</t>
  </si>
  <si>
    <t xml:space="preserve">18</t>
  </si>
  <si>
    <t xml:space="preserve">19
L20 (U-III)</t>
  </si>
  <si>
    <t xml:space="preserve">20</t>
  </si>
  <si>
    <t xml:space="preserve">21</t>
  </si>
  <si>
    <t xml:space="preserve">18
L6 (U-I)</t>
  </si>
  <si>
    <t xml:space="preserve">19</t>
  </si>
  <si>
    <t xml:space="preserve">20
L7 (U-I)</t>
  </si>
  <si>
    <t xml:space="preserve">22
L8 (U-II)</t>
  </si>
  <si>
    <t xml:space="preserve">23</t>
  </si>
  <si>
    <t xml:space="preserve">24</t>
  </si>
  <si>
    <t xml:space="preserve">22
L21 (U-III)</t>
  </si>
  <si>
    <t xml:space="preserve">24
L22 (U-IV)</t>
  </si>
  <si>
    <t xml:space="preserve">25</t>
  </si>
  <si>
    <t xml:space="preserve">26
L23 (U-IV)</t>
  </si>
  <si>
    <t xml:space="preserve">27</t>
  </si>
  <si>
    <t xml:space="preserve">28</t>
  </si>
  <si>
    <t xml:space="preserve">25
L9 (U-II)</t>
  </si>
  <si>
    <t xml:space="preserve">26
Republic Day</t>
  </si>
  <si>
    <t xml:space="preserve">27
L10 (U-II)</t>
  </si>
  <si>
    <t xml:space="preserve">29
L11 (U-II)</t>
  </si>
  <si>
    <t xml:space="preserve">30</t>
  </si>
  <si>
    <t xml:space="preserve">31</t>
  </si>
  <si>
    <t xml:space="preserve">MARCH 2027</t>
  </si>
  <si>
    <t xml:space="preserve">1
L24 (U-IV)</t>
  </si>
  <si>
    <t xml:space="preserve">2
Holiday</t>
  </si>
  <si>
    <t xml:space="preserve">3
L25 (U-IV)</t>
  </si>
  <si>
    <t xml:space="preserve">5
L26 (U-IV)</t>
  </si>
  <si>
    <t xml:space="preserve">8
L27 (U-IV)</t>
  </si>
  <si>
    <t xml:space="preserve">10
L28 (U-IV)</t>
  </si>
  <si>
    <t xml:space="preserve">12
L29 (U-IV)</t>
  </si>
  <si>
    <t xml:space="preserve">15
L30 (U-V)</t>
  </si>
  <si>
    <t xml:space="preserve">17
L31 (U-V)</t>
  </si>
  <si>
    <t xml:space="preserve">19
L32 (U-V)</t>
  </si>
  <si>
    <t xml:space="preserve">22
L33 (U-V)</t>
  </si>
  <si>
    <t xml:space="preserve">24
L34 (U-V)</t>
  </si>
  <si>
    <t xml:space="preserve">26
L35 (U-V)</t>
  </si>
  <si>
    <t xml:space="preserve">29</t>
  </si>
  <si>
    <t xml:space="preserve">LEGEND</t>
  </si>
  <si>
    <t xml:space="preserve">Unit I lecture</t>
  </si>
  <si>
    <t xml:space="preserve">Unit II lecture</t>
  </si>
  <si>
    <t xml:space="preserve">Unit III lecture</t>
  </si>
  <si>
    <t xml:space="preserve">Unit IV lecture</t>
  </si>
  <si>
    <t xml:space="preserve">Unit V lecture</t>
  </si>
  <si>
    <t xml:space="preserve">Holiday</t>
  </si>
  <si>
    <t xml:space="preserve">Weekend / non-lecture</t>
  </si>
  <si>
    <t xml:space="preserve">Weekday, no lecture</t>
  </si>
  <si>
    <t xml:space="preserve">LECTURE DAYS SKIPPED</t>
  </si>
  <si>
    <t xml:space="preserve">Weekday</t>
  </si>
  <si>
    <t xml:space="preserve">Reason</t>
  </si>
  <si>
    <t xml:space="preserve">Friday</t>
  </si>
  <si>
    <t xml:space="preserve">Sankranti holiday (14-15 Jan)</t>
  </si>
  <si>
    <t xml:space="preserve">Other holidays given (14-Jan, 26-Jan, 09-Feb, 02-Mar) fall on non-lecture days; 07-Apr falls after the course end date. No other lecture is lost.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</si>
</sst>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0.0%"/>
    <numFmt numFmtId="167" formatCode="0%"/>
    <numFmt numFmtId="168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mbria"/>
      <family val="0"/>
      <charset val="1"/>
    </font>
    <font>
      <sz val="11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3"/>
      <color rgb="FFFFFFFF"/>
      <name val="Calibri"/>
      <family val="0"/>
      <charset val="1"/>
    </font>
    <font>
      <i val="true"/>
      <sz val="10"/>
      <color rgb="FF2E5496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7F6000"/>
      <name val="Calibri"/>
      <family val="0"/>
      <charset val="1"/>
    </font>
    <font>
      <sz val="9"/>
      <color rgb="FF000000"/>
      <name val="Calibri"/>
      <family val="0"/>
      <charset val="1"/>
    </font>
    <font>
      <i val="true"/>
      <sz val="9"/>
      <color rgb="FF000000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4DFEC"/>
      </patternFill>
    </fill>
    <fill>
      <patternFill patternType="solid">
        <fgColor rgb="FFFFFFFF"/>
        <bgColor rgb="FFEEF3FB"/>
      </patternFill>
    </fill>
    <fill>
      <patternFill patternType="solid">
        <fgColor rgb="FF2E5496"/>
        <bgColor rgb="FF1F3864"/>
      </patternFill>
    </fill>
    <fill>
      <patternFill patternType="solid">
        <fgColor rgb="FFE2EFDA"/>
        <bgColor rgb="FFEDEDED"/>
      </patternFill>
    </fill>
    <fill>
      <patternFill patternType="solid">
        <fgColor rgb="FFEEF3FB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8D7E3"/>
      </patternFill>
    </fill>
    <fill>
      <patternFill patternType="solid">
        <fgColor rgb="FFE4DFEC"/>
        <bgColor rgb="FFD9E2F3"/>
      </patternFill>
    </fill>
    <fill>
      <patternFill patternType="solid">
        <fgColor rgb="FFD5F0EF"/>
        <bgColor rgb="FFE2EFDA"/>
      </patternFill>
    </fill>
    <fill>
      <patternFill patternType="solid">
        <fgColor rgb="FFF8D7E3"/>
        <bgColor rgb="FFFCE4D6"/>
      </patternFill>
    </fill>
    <fill>
      <patternFill patternType="solid">
        <fgColor rgb="FFEDEDED"/>
        <bgColor rgb="FFEEF3FB"/>
      </patternFill>
    </fill>
    <fill>
      <patternFill patternType="solid">
        <fgColor rgb="FFBFBFBF"/>
        <bgColor rgb="FF8EA9D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8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8EA9DB"/>
      <rgbColor rgb="FF993366"/>
      <rgbColor rgb="FFFFF2CC"/>
      <rgbColor rgb="FFD5F0E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B"/>
      <rgbColor rgb="FFE2EFDA"/>
      <rgbColor rgb="FFFCE4D6"/>
      <rgbColor rgb="FFE4DFEC"/>
      <rgbColor rgb="FFEDEDED"/>
      <rgbColor rgb="FFCC99FF"/>
      <rgbColor rgb="FFF8D7E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8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34"/>
    <col collapsed="false" customWidth="true" hidden="false" outlineLevel="0" max="5" min="5" style="0" width="46"/>
    <col collapsed="false" customWidth="true" hidden="false" outlineLevel="0" max="6" min="6" style="0" width="22"/>
    <col collapsed="false" customWidth="true" hidden="false" outlineLevel="0" max="7" min="7" style="0" width="40"/>
    <col collapsed="false" customWidth="true" hidden="false" outlineLevel="0" max="8" min="8" style="0" width="42"/>
    <col collapsed="false" customWidth="true" hidden="false" outlineLevel="0" max="9" min="9" style="0" width="15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24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</row>
    <row r="5" customFormat="false" ht="18" hidden="false" customHeight="true" outlineLevel="0" collapsed="false">
      <c r="A5" s="5" t="s">
        <v>4</v>
      </c>
      <c r="B5" s="5"/>
      <c r="C5" s="5"/>
      <c r="D5" s="5"/>
      <c r="E5" s="5"/>
      <c r="F5" s="5"/>
      <c r="G5" s="5"/>
      <c r="H5" s="5"/>
      <c r="I5" s="5"/>
    </row>
    <row r="6" customFormat="false" ht="6" hidden="false" customHeight="true" outlineLevel="0" collapsed="false"/>
    <row r="7" customFormat="false" ht="18" hidden="false" customHeight="true" outlineLevel="0" collapsed="false">
      <c r="A7" s="6" t="s">
        <v>5</v>
      </c>
      <c r="B7" s="6"/>
      <c r="C7" s="6"/>
      <c r="D7" s="7" t="s">
        <v>6</v>
      </c>
      <c r="E7" s="7"/>
      <c r="F7" s="6" t="s">
        <v>7</v>
      </c>
      <c r="G7" s="7" t="s">
        <v>8</v>
      </c>
      <c r="H7" s="7"/>
      <c r="I7" s="7"/>
    </row>
    <row r="8" customFormat="false" ht="18" hidden="false" customHeight="true" outlineLevel="0" collapsed="false">
      <c r="A8" s="6" t="s">
        <v>9</v>
      </c>
      <c r="B8" s="6"/>
      <c r="C8" s="6"/>
      <c r="D8" s="7" t="s">
        <v>10</v>
      </c>
      <c r="E8" s="7"/>
      <c r="F8" s="6" t="s">
        <v>11</v>
      </c>
      <c r="G8" s="7" t="s">
        <v>12</v>
      </c>
      <c r="H8" s="7"/>
      <c r="I8" s="7"/>
    </row>
    <row r="9" customFormat="false" ht="18" hidden="false" customHeight="true" outlineLevel="0" collapsed="false">
      <c r="A9" s="6" t="s">
        <v>13</v>
      </c>
      <c r="B9" s="6"/>
      <c r="C9" s="6"/>
      <c r="D9" s="7" t="n">
        <v>35</v>
      </c>
      <c r="E9" s="7"/>
      <c r="F9" s="6" t="s">
        <v>14</v>
      </c>
      <c r="G9" s="7" t="s">
        <v>15</v>
      </c>
      <c r="H9" s="7"/>
      <c r="I9" s="7"/>
    </row>
    <row r="10" customFormat="false" ht="18" hidden="false" customHeight="true" outlineLevel="0" collapsed="false">
      <c r="A10" s="6" t="s">
        <v>16</v>
      </c>
      <c r="B10" s="6"/>
      <c r="C10" s="6"/>
      <c r="D10" s="8" t="n">
        <v>46389</v>
      </c>
      <c r="E10" s="8"/>
      <c r="F10" s="6" t="s">
        <v>17</v>
      </c>
      <c r="G10" s="8" t="n">
        <f aca="false">MAX($B$14:$B$53)</f>
        <v>46472</v>
      </c>
      <c r="H10" s="8"/>
      <c r="I10" s="8"/>
    </row>
    <row r="11" customFormat="false" ht="43.5" hidden="false" customHeight="true" outlineLevel="0" collapsed="false">
      <c r="A11" s="6" t="s">
        <v>18</v>
      </c>
      <c r="B11" s="6"/>
      <c r="C11" s="6"/>
      <c r="D11" s="7" t="s">
        <v>19</v>
      </c>
      <c r="E11" s="7"/>
      <c r="F11" s="6" t="s">
        <v>20</v>
      </c>
      <c r="G11" s="7" t="s">
        <v>21</v>
      </c>
      <c r="H11" s="7"/>
      <c r="I11" s="7"/>
    </row>
    <row r="12" customFormat="false" ht="6" hidden="false" customHeight="true" outlineLevel="0" collapsed="false"/>
    <row r="13" customFormat="false" ht="30" hidden="false" customHeight="true" outlineLevel="0" collapsed="false">
      <c r="A13" s="9" t="s">
        <v>22</v>
      </c>
      <c r="B13" s="9" t="s">
        <v>23</v>
      </c>
      <c r="C13" s="9" t="s">
        <v>24</v>
      </c>
      <c r="D13" s="9" t="s">
        <v>25</v>
      </c>
      <c r="E13" s="9" t="s">
        <v>26</v>
      </c>
      <c r="F13" s="9" t="s">
        <v>27</v>
      </c>
      <c r="G13" s="9" t="s">
        <v>28</v>
      </c>
      <c r="H13" s="9" t="s">
        <v>29</v>
      </c>
      <c r="I13" s="9" t="s">
        <v>30</v>
      </c>
    </row>
    <row r="14" customFormat="false" ht="19.5" hidden="false" customHeight="true" outlineLevel="0" collapsed="false">
      <c r="A14" s="10" t="s">
        <v>31</v>
      </c>
      <c r="B14" s="10"/>
      <c r="C14" s="10"/>
      <c r="D14" s="10"/>
      <c r="E14" s="10"/>
      <c r="F14" s="10"/>
      <c r="G14" s="10"/>
      <c r="H14" s="10"/>
      <c r="I14" s="10"/>
    </row>
    <row r="15" customFormat="false" ht="60" hidden="false" customHeight="true" outlineLevel="0" collapsed="false">
      <c r="A15" s="11" t="n">
        <v>1</v>
      </c>
      <c r="B15" s="12" t="n">
        <v>46391</v>
      </c>
      <c r="C15" s="13" t="str">
        <f aca="false">TEXT(B15,"ddd")</f>
        <v>Mon</v>
      </c>
      <c r="D15" s="14" t="s">
        <v>32</v>
      </c>
      <c r="E15" s="15" t="s">
        <v>33</v>
      </c>
      <c r="F15" s="15" t="s">
        <v>34</v>
      </c>
      <c r="G15" s="15" t="s">
        <v>35</v>
      </c>
      <c r="H15" s="13" t="s">
        <v>36</v>
      </c>
      <c r="I15" s="13" t="s">
        <v>37</v>
      </c>
    </row>
    <row r="16" customFormat="false" ht="33" hidden="false" customHeight="true" outlineLevel="0" collapsed="false">
      <c r="A16" s="11" t="n">
        <v>2</v>
      </c>
      <c r="B16" s="16" t="n">
        <v>46393</v>
      </c>
      <c r="C16" s="17" t="str">
        <f aca="false">TEXT(B16,"ddd")</f>
        <v>Wed</v>
      </c>
      <c r="D16" s="14" t="s">
        <v>32</v>
      </c>
      <c r="E16" s="18" t="s">
        <v>38</v>
      </c>
      <c r="F16" s="18" t="s">
        <v>39</v>
      </c>
      <c r="G16" s="18" t="s">
        <v>40</v>
      </c>
      <c r="H16" s="17" t="s">
        <v>36</v>
      </c>
      <c r="I16" s="17" t="s">
        <v>37</v>
      </c>
    </row>
    <row r="17" customFormat="false" ht="33" hidden="false" customHeight="true" outlineLevel="0" collapsed="false">
      <c r="A17" s="11" t="n">
        <v>3</v>
      </c>
      <c r="B17" s="12" t="n">
        <v>46395</v>
      </c>
      <c r="C17" s="13" t="str">
        <f aca="false">TEXT(B17,"ddd")</f>
        <v>Fri</v>
      </c>
      <c r="D17" s="14" t="s">
        <v>32</v>
      </c>
      <c r="E17" s="15" t="s">
        <v>41</v>
      </c>
      <c r="F17" s="15" t="s">
        <v>42</v>
      </c>
      <c r="G17" s="15" t="s">
        <v>43</v>
      </c>
      <c r="H17" s="13" t="s">
        <v>36</v>
      </c>
      <c r="I17" s="13" t="s">
        <v>44</v>
      </c>
    </row>
    <row r="18" customFormat="false" ht="33" hidden="false" customHeight="true" outlineLevel="0" collapsed="false">
      <c r="A18" s="11" t="n">
        <v>4</v>
      </c>
      <c r="B18" s="16" t="n">
        <v>46398</v>
      </c>
      <c r="C18" s="17" t="str">
        <f aca="false">TEXT(B18,"ddd")</f>
        <v>Mon</v>
      </c>
      <c r="D18" s="14" t="s">
        <v>32</v>
      </c>
      <c r="E18" s="18" t="s">
        <v>45</v>
      </c>
      <c r="F18" s="18" t="s">
        <v>46</v>
      </c>
      <c r="G18" s="18" t="s">
        <v>47</v>
      </c>
      <c r="H18" s="17" t="s">
        <v>36</v>
      </c>
      <c r="I18" s="17" t="s">
        <v>44</v>
      </c>
    </row>
    <row r="19" customFormat="false" ht="46.5" hidden="false" customHeight="true" outlineLevel="0" collapsed="false">
      <c r="A19" s="11" t="n">
        <v>5</v>
      </c>
      <c r="B19" s="12" t="n">
        <v>46400</v>
      </c>
      <c r="C19" s="13" t="str">
        <f aca="false">TEXT(B19,"ddd")</f>
        <v>Wed</v>
      </c>
      <c r="D19" s="14" t="s">
        <v>32</v>
      </c>
      <c r="E19" s="15" t="s">
        <v>48</v>
      </c>
      <c r="F19" s="15" t="s">
        <v>49</v>
      </c>
      <c r="G19" s="15" t="s">
        <v>50</v>
      </c>
      <c r="H19" s="13" t="s">
        <v>36</v>
      </c>
      <c r="I19" s="13" t="s">
        <v>44</v>
      </c>
    </row>
    <row r="20" customFormat="false" ht="33" hidden="false" customHeight="true" outlineLevel="0" collapsed="false">
      <c r="A20" s="11" t="n">
        <v>6</v>
      </c>
      <c r="B20" s="16" t="n">
        <v>46405</v>
      </c>
      <c r="C20" s="17" t="str">
        <f aca="false">TEXT(B20,"ddd")</f>
        <v>Mon</v>
      </c>
      <c r="D20" s="14" t="s">
        <v>32</v>
      </c>
      <c r="E20" s="18" t="s">
        <v>51</v>
      </c>
      <c r="F20" s="18" t="s">
        <v>52</v>
      </c>
      <c r="G20" s="18" t="s">
        <v>53</v>
      </c>
      <c r="H20" s="17" t="s">
        <v>36</v>
      </c>
      <c r="I20" s="17" t="s">
        <v>44</v>
      </c>
    </row>
    <row r="21" customFormat="false" ht="60" hidden="false" customHeight="true" outlineLevel="0" collapsed="false">
      <c r="A21" s="11" t="n">
        <v>7</v>
      </c>
      <c r="B21" s="12" t="n">
        <v>46407</v>
      </c>
      <c r="C21" s="13" t="str">
        <f aca="false">TEXT(B21,"ddd")</f>
        <v>Wed</v>
      </c>
      <c r="D21" s="14" t="s">
        <v>32</v>
      </c>
      <c r="E21" s="15" t="s">
        <v>54</v>
      </c>
      <c r="F21" s="15" t="s">
        <v>55</v>
      </c>
      <c r="G21" s="15" t="s">
        <v>56</v>
      </c>
      <c r="H21" s="19" t="s">
        <v>57</v>
      </c>
      <c r="I21" s="13" t="s">
        <v>44</v>
      </c>
    </row>
    <row r="22" customFormat="false" ht="19.5" hidden="false" customHeight="true" outlineLevel="0" collapsed="false">
      <c r="A22" s="10" t="s">
        <v>58</v>
      </c>
      <c r="B22" s="10"/>
      <c r="C22" s="10"/>
      <c r="D22" s="10"/>
      <c r="E22" s="10"/>
      <c r="F22" s="10"/>
      <c r="G22" s="10"/>
      <c r="H22" s="10"/>
      <c r="I22" s="10"/>
    </row>
    <row r="23" customFormat="false" ht="33" hidden="false" customHeight="true" outlineLevel="0" collapsed="false">
      <c r="A23" s="20" t="n">
        <v>8</v>
      </c>
      <c r="B23" s="12" t="n">
        <v>46409</v>
      </c>
      <c r="C23" s="13" t="str">
        <f aca="false">TEXT(B23,"ddd")</f>
        <v>Fri</v>
      </c>
      <c r="D23" s="21" t="s">
        <v>59</v>
      </c>
      <c r="E23" s="15" t="s">
        <v>60</v>
      </c>
      <c r="F23" s="15" t="s">
        <v>39</v>
      </c>
      <c r="G23" s="15" t="s">
        <v>61</v>
      </c>
      <c r="H23" s="13" t="s">
        <v>36</v>
      </c>
      <c r="I23" s="13" t="s">
        <v>62</v>
      </c>
    </row>
    <row r="24" customFormat="false" ht="33" hidden="false" customHeight="true" outlineLevel="0" collapsed="false">
      <c r="A24" s="20" t="n">
        <v>9</v>
      </c>
      <c r="B24" s="16" t="n">
        <v>46412</v>
      </c>
      <c r="C24" s="17" t="str">
        <f aca="false">TEXT(B24,"ddd")</f>
        <v>Mon</v>
      </c>
      <c r="D24" s="21" t="s">
        <v>59</v>
      </c>
      <c r="E24" s="18" t="s">
        <v>63</v>
      </c>
      <c r="F24" s="18" t="s">
        <v>34</v>
      </c>
      <c r="G24" s="18" t="s">
        <v>64</v>
      </c>
      <c r="H24" s="17" t="s">
        <v>36</v>
      </c>
      <c r="I24" s="17" t="s">
        <v>62</v>
      </c>
    </row>
    <row r="25" customFormat="false" ht="46.5" hidden="false" customHeight="true" outlineLevel="0" collapsed="false">
      <c r="A25" s="20" t="n">
        <v>10</v>
      </c>
      <c r="B25" s="12" t="n">
        <v>46414</v>
      </c>
      <c r="C25" s="13" t="str">
        <f aca="false">TEXT(B25,"ddd")</f>
        <v>Wed</v>
      </c>
      <c r="D25" s="21" t="s">
        <v>59</v>
      </c>
      <c r="E25" s="15" t="s">
        <v>65</v>
      </c>
      <c r="F25" s="15" t="s">
        <v>66</v>
      </c>
      <c r="G25" s="15" t="s">
        <v>67</v>
      </c>
      <c r="H25" s="13" t="s">
        <v>36</v>
      </c>
      <c r="I25" s="13" t="s">
        <v>62</v>
      </c>
    </row>
    <row r="26" customFormat="false" ht="46.5" hidden="false" customHeight="true" outlineLevel="0" collapsed="false">
      <c r="A26" s="20" t="n">
        <v>11</v>
      </c>
      <c r="B26" s="16" t="n">
        <v>46416</v>
      </c>
      <c r="C26" s="17" t="str">
        <f aca="false">TEXT(B26,"ddd")</f>
        <v>Fri</v>
      </c>
      <c r="D26" s="21" t="s">
        <v>59</v>
      </c>
      <c r="E26" s="18" t="s">
        <v>68</v>
      </c>
      <c r="F26" s="18" t="s">
        <v>69</v>
      </c>
      <c r="G26" s="18" t="s">
        <v>70</v>
      </c>
      <c r="H26" s="17" t="s">
        <v>36</v>
      </c>
      <c r="I26" s="17" t="s">
        <v>71</v>
      </c>
    </row>
    <row r="27" customFormat="false" ht="60" hidden="false" customHeight="true" outlineLevel="0" collapsed="false">
      <c r="A27" s="20" t="n">
        <v>12</v>
      </c>
      <c r="B27" s="12" t="n">
        <v>46419</v>
      </c>
      <c r="C27" s="13" t="str">
        <f aca="false">TEXT(B27,"ddd")</f>
        <v>Mon</v>
      </c>
      <c r="D27" s="21" t="s">
        <v>59</v>
      </c>
      <c r="E27" s="15" t="s">
        <v>72</v>
      </c>
      <c r="F27" s="15" t="s">
        <v>49</v>
      </c>
      <c r="G27" s="15" t="s">
        <v>73</v>
      </c>
      <c r="H27" s="13" t="s">
        <v>36</v>
      </c>
      <c r="I27" s="13" t="s">
        <v>62</v>
      </c>
    </row>
    <row r="28" customFormat="false" ht="33" hidden="false" customHeight="true" outlineLevel="0" collapsed="false">
      <c r="A28" s="20" t="n">
        <v>13</v>
      </c>
      <c r="B28" s="16" t="n">
        <v>46421</v>
      </c>
      <c r="C28" s="17" t="str">
        <f aca="false">TEXT(B28,"ddd")</f>
        <v>Wed</v>
      </c>
      <c r="D28" s="21" t="s">
        <v>59</v>
      </c>
      <c r="E28" s="18" t="s">
        <v>74</v>
      </c>
      <c r="F28" s="18" t="s">
        <v>75</v>
      </c>
      <c r="G28" s="18" t="s">
        <v>76</v>
      </c>
      <c r="H28" s="17" t="s">
        <v>36</v>
      </c>
      <c r="I28" s="17" t="s">
        <v>62</v>
      </c>
    </row>
    <row r="29" customFormat="false" ht="60" hidden="false" customHeight="true" outlineLevel="0" collapsed="false">
      <c r="A29" s="20" t="n">
        <v>14</v>
      </c>
      <c r="B29" s="12" t="n">
        <v>46423</v>
      </c>
      <c r="C29" s="13" t="str">
        <f aca="false">TEXT(B29,"ddd")</f>
        <v>Fri</v>
      </c>
      <c r="D29" s="21" t="s">
        <v>59</v>
      </c>
      <c r="E29" s="15" t="s">
        <v>77</v>
      </c>
      <c r="F29" s="15" t="s">
        <v>78</v>
      </c>
      <c r="G29" s="15" t="s">
        <v>79</v>
      </c>
      <c r="H29" s="19" t="s">
        <v>80</v>
      </c>
      <c r="I29" s="13" t="s">
        <v>62</v>
      </c>
    </row>
    <row r="30" customFormat="false" ht="19.5" hidden="false" customHeight="true" outlineLevel="0" collapsed="false">
      <c r="A30" s="10" t="s">
        <v>81</v>
      </c>
      <c r="B30" s="10"/>
      <c r="C30" s="10"/>
      <c r="D30" s="10"/>
      <c r="E30" s="10"/>
      <c r="F30" s="10"/>
      <c r="G30" s="10"/>
      <c r="H30" s="10"/>
      <c r="I30" s="10"/>
    </row>
    <row r="31" customFormat="false" ht="46.5" hidden="false" customHeight="true" outlineLevel="0" collapsed="false">
      <c r="A31" s="22" t="n">
        <v>15</v>
      </c>
      <c r="B31" s="12" t="n">
        <v>46426</v>
      </c>
      <c r="C31" s="13" t="str">
        <f aca="false">TEXT(B31,"ddd")</f>
        <v>Mon</v>
      </c>
      <c r="D31" s="23" t="s">
        <v>82</v>
      </c>
      <c r="E31" s="15" t="s">
        <v>83</v>
      </c>
      <c r="F31" s="15" t="s">
        <v>34</v>
      </c>
      <c r="G31" s="15" t="s">
        <v>84</v>
      </c>
      <c r="H31" s="13" t="s">
        <v>36</v>
      </c>
      <c r="I31" s="13" t="s">
        <v>85</v>
      </c>
    </row>
    <row r="32" customFormat="false" ht="46.5" hidden="false" customHeight="true" outlineLevel="0" collapsed="false">
      <c r="A32" s="22" t="n">
        <v>16</v>
      </c>
      <c r="B32" s="16" t="n">
        <v>46428</v>
      </c>
      <c r="C32" s="17" t="str">
        <f aca="false">TEXT(B32,"ddd")</f>
        <v>Wed</v>
      </c>
      <c r="D32" s="23" t="s">
        <v>82</v>
      </c>
      <c r="E32" s="18" t="s">
        <v>86</v>
      </c>
      <c r="F32" s="18" t="s">
        <v>39</v>
      </c>
      <c r="G32" s="18" t="s">
        <v>87</v>
      </c>
      <c r="H32" s="17" t="s">
        <v>36</v>
      </c>
      <c r="I32" s="17" t="s">
        <v>88</v>
      </c>
    </row>
    <row r="33" customFormat="false" ht="33" hidden="false" customHeight="true" outlineLevel="0" collapsed="false">
      <c r="A33" s="22" t="n">
        <v>17</v>
      </c>
      <c r="B33" s="12" t="n">
        <v>46430</v>
      </c>
      <c r="C33" s="13" t="str">
        <f aca="false">TEXT(B33,"ddd")</f>
        <v>Fri</v>
      </c>
      <c r="D33" s="23" t="s">
        <v>82</v>
      </c>
      <c r="E33" s="15" t="s">
        <v>89</v>
      </c>
      <c r="F33" s="15" t="s">
        <v>90</v>
      </c>
      <c r="G33" s="15" t="s">
        <v>91</v>
      </c>
      <c r="H33" s="13" t="s">
        <v>36</v>
      </c>
      <c r="I33" s="13" t="s">
        <v>88</v>
      </c>
    </row>
    <row r="34" customFormat="false" ht="46.5" hidden="false" customHeight="true" outlineLevel="0" collapsed="false">
      <c r="A34" s="22" t="n">
        <v>18</v>
      </c>
      <c r="B34" s="16" t="n">
        <v>46433</v>
      </c>
      <c r="C34" s="17" t="str">
        <f aca="false">TEXT(B34,"ddd")</f>
        <v>Mon</v>
      </c>
      <c r="D34" s="23" t="s">
        <v>82</v>
      </c>
      <c r="E34" s="18" t="s">
        <v>92</v>
      </c>
      <c r="F34" s="18" t="s">
        <v>52</v>
      </c>
      <c r="G34" s="18" t="s">
        <v>93</v>
      </c>
      <c r="H34" s="17" t="s">
        <v>36</v>
      </c>
      <c r="I34" s="17" t="s">
        <v>88</v>
      </c>
    </row>
    <row r="35" customFormat="false" ht="33" hidden="false" customHeight="true" outlineLevel="0" collapsed="false">
      <c r="A35" s="22" t="n">
        <v>19</v>
      </c>
      <c r="B35" s="12" t="n">
        <v>46435</v>
      </c>
      <c r="C35" s="13" t="str">
        <f aca="false">TEXT(B35,"ddd")</f>
        <v>Wed</v>
      </c>
      <c r="D35" s="23" t="s">
        <v>82</v>
      </c>
      <c r="E35" s="15" t="s">
        <v>94</v>
      </c>
      <c r="F35" s="15" t="s">
        <v>69</v>
      </c>
      <c r="G35" s="15" t="s">
        <v>95</v>
      </c>
      <c r="H35" s="13" t="s">
        <v>36</v>
      </c>
      <c r="I35" s="13" t="s">
        <v>96</v>
      </c>
    </row>
    <row r="36" customFormat="false" ht="46.5" hidden="false" customHeight="true" outlineLevel="0" collapsed="false">
      <c r="A36" s="22" t="n">
        <v>20</v>
      </c>
      <c r="B36" s="16" t="n">
        <v>46437</v>
      </c>
      <c r="C36" s="17" t="str">
        <f aca="false">TEXT(B36,"ddd")</f>
        <v>Fri</v>
      </c>
      <c r="D36" s="23" t="s">
        <v>82</v>
      </c>
      <c r="E36" s="18" t="s">
        <v>97</v>
      </c>
      <c r="F36" s="18" t="s">
        <v>42</v>
      </c>
      <c r="G36" s="18" t="s">
        <v>98</v>
      </c>
      <c r="H36" s="17" t="s">
        <v>36</v>
      </c>
      <c r="I36" s="17" t="s">
        <v>88</v>
      </c>
    </row>
    <row r="37" customFormat="false" ht="46.5" hidden="false" customHeight="true" outlineLevel="0" collapsed="false">
      <c r="A37" s="22" t="n">
        <v>21</v>
      </c>
      <c r="B37" s="12" t="n">
        <v>46440</v>
      </c>
      <c r="C37" s="13" t="str">
        <f aca="false">TEXT(B37,"ddd")</f>
        <v>Mon</v>
      </c>
      <c r="D37" s="23" t="s">
        <v>82</v>
      </c>
      <c r="E37" s="15" t="s">
        <v>99</v>
      </c>
      <c r="F37" s="15" t="s">
        <v>49</v>
      </c>
      <c r="G37" s="15" t="s">
        <v>100</v>
      </c>
      <c r="H37" s="19" t="s">
        <v>101</v>
      </c>
      <c r="I37" s="13" t="s">
        <v>96</v>
      </c>
    </row>
    <row r="38" customFormat="false" ht="19.5" hidden="false" customHeight="true" outlineLevel="0" collapsed="false">
      <c r="A38" s="10" t="s">
        <v>102</v>
      </c>
      <c r="B38" s="10"/>
      <c r="C38" s="10"/>
      <c r="D38" s="10"/>
      <c r="E38" s="10"/>
      <c r="F38" s="10"/>
      <c r="G38" s="10"/>
      <c r="H38" s="10"/>
      <c r="I38" s="10"/>
    </row>
    <row r="39" customFormat="false" ht="46.5" hidden="false" customHeight="true" outlineLevel="0" collapsed="false">
      <c r="A39" s="24" t="n">
        <v>22</v>
      </c>
      <c r="B39" s="12" t="n">
        <v>46442</v>
      </c>
      <c r="C39" s="13" t="str">
        <f aca="false">TEXT(B39,"ddd")</f>
        <v>Wed</v>
      </c>
      <c r="D39" s="25" t="s">
        <v>103</v>
      </c>
      <c r="E39" s="15" t="s">
        <v>104</v>
      </c>
      <c r="F39" s="15" t="s">
        <v>39</v>
      </c>
      <c r="G39" s="15" t="s">
        <v>105</v>
      </c>
      <c r="H39" s="13" t="s">
        <v>36</v>
      </c>
      <c r="I39" s="13" t="s">
        <v>106</v>
      </c>
    </row>
    <row r="40" customFormat="false" ht="33" hidden="false" customHeight="true" outlineLevel="0" collapsed="false">
      <c r="A40" s="24" t="n">
        <v>23</v>
      </c>
      <c r="B40" s="16" t="n">
        <v>46444</v>
      </c>
      <c r="C40" s="17" t="str">
        <f aca="false">TEXT(B40,"ddd")</f>
        <v>Fri</v>
      </c>
      <c r="D40" s="25" t="s">
        <v>103</v>
      </c>
      <c r="E40" s="18" t="s">
        <v>107</v>
      </c>
      <c r="F40" s="18" t="s">
        <v>78</v>
      </c>
      <c r="G40" s="18" t="s">
        <v>108</v>
      </c>
      <c r="H40" s="17" t="s">
        <v>36</v>
      </c>
      <c r="I40" s="17" t="s">
        <v>106</v>
      </c>
    </row>
    <row r="41" customFormat="false" ht="46.5" hidden="false" customHeight="true" outlineLevel="0" collapsed="false">
      <c r="A41" s="24" t="n">
        <v>24</v>
      </c>
      <c r="B41" s="12" t="n">
        <v>46447</v>
      </c>
      <c r="C41" s="13" t="str">
        <f aca="false">TEXT(B41,"ddd")</f>
        <v>Mon</v>
      </c>
      <c r="D41" s="25" t="s">
        <v>103</v>
      </c>
      <c r="E41" s="15" t="s">
        <v>109</v>
      </c>
      <c r="F41" s="15" t="s">
        <v>49</v>
      </c>
      <c r="G41" s="15" t="s">
        <v>110</v>
      </c>
      <c r="H41" s="13" t="s">
        <v>36</v>
      </c>
      <c r="I41" s="13" t="s">
        <v>106</v>
      </c>
    </row>
    <row r="42" customFormat="false" ht="33" hidden="false" customHeight="true" outlineLevel="0" collapsed="false">
      <c r="A42" s="24" t="n">
        <v>25</v>
      </c>
      <c r="B42" s="16" t="n">
        <v>46449</v>
      </c>
      <c r="C42" s="17" t="str">
        <f aca="false">TEXT(B42,"ddd")</f>
        <v>Wed</v>
      </c>
      <c r="D42" s="25" t="s">
        <v>103</v>
      </c>
      <c r="E42" s="18" t="s">
        <v>111</v>
      </c>
      <c r="F42" s="18" t="s">
        <v>52</v>
      </c>
      <c r="G42" s="18" t="s">
        <v>112</v>
      </c>
      <c r="H42" s="17" t="s">
        <v>36</v>
      </c>
      <c r="I42" s="17" t="s">
        <v>106</v>
      </c>
    </row>
    <row r="43" customFormat="false" ht="33" hidden="false" customHeight="true" outlineLevel="0" collapsed="false">
      <c r="A43" s="24" t="n">
        <v>26</v>
      </c>
      <c r="B43" s="12" t="n">
        <v>46451</v>
      </c>
      <c r="C43" s="13" t="str">
        <f aca="false">TEXT(B43,"ddd")</f>
        <v>Fri</v>
      </c>
      <c r="D43" s="25" t="s">
        <v>103</v>
      </c>
      <c r="E43" s="15" t="s">
        <v>113</v>
      </c>
      <c r="F43" s="15" t="s">
        <v>34</v>
      </c>
      <c r="G43" s="15" t="s">
        <v>114</v>
      </c>
      <c r="H43" s="13" t="s">
        <v>36</v>
      </c>
      <c r="I43" s="13" t="s">
        <v>106</v>
      </c>
    </row>
    <row r="44" customFormat="false" ht="33" hidden="false" customHeight="true" outlineLevel="0" collapsed="false">
      <c r="A44" s="24" t="n">
        <v>27</v>
      </c>
      <c r="B44" s="16" t="n">
        <v>46454</v>
      </c>
      <c r="C44" s="17" t="str">
        <f aca="false">TEXT(B44,"ddd")</f>
        <v>Mon</v>
      </c>
      <c r="D44" s="25" t="s">
        <v>103</v>
      </c>
      <c r="E44" s="18" t="s">
        <v>115</v>
      </c>
      <c r="F44" s="18" t="s">
        <v>90</v>
      </c>
      <c r="G44" s="18" t="s">
        <v>116</v>
      </c>
      <c r="H44" s="17" t="s">
        <v>36</v>
      </c>
      <c r="I44" s="17" t="s">
        <v>117</v>
      </c>
    </row>
    <row r="45" customFormat="false" ht="46.5" hidden="false" customHeight="true" outlineLevel="0" collapsed="false">
      <c r="A45" s="24" t="n">
        <v>28</v>
      </c>
      <c r="B45" s="12" t="n">
        <v>46456</v>
      </c>
      <c r="C45" s="13" t="str">
        <f aca="false">TEXT(B45,"ddd")</f>
        <v>Wed</v>
      </c>
      <c r="D45" s="25" t="s">
        <v>103</v>
      </c>
      <c r="E45" s="15" t="s">
        <v>118</v>
      </c>
      <c r="F45" s="15" t="s">
        <v>39</v>
      </c>
      <c r="G45" s="15" t="s">
        <v>119</v>
      </c>
      <c r="H45" s="13" t="s">
        <v>36</v>
      </c>
      <c r="I45" s="13" t="s">
        <v>106</v>
      </c>
    </row>
    <row r="46" customFormat="false" ht="60" hidden="false" customHeight="true" outlineLevel="0" collapsed="false">
      <c r="A46" s="24" t="n">
        <v>29</v>
      </c>
      <c r="B46" s="16" t="n">
        <v>46458</v>
      </c>
      <c r="C46" s="17" t="str">
        <f aca="false">TEXT(B46,"ddd")</f>
        <v>Fri</v>
      </c>
      <c r="D46" s="25" t="s">
        <v>103</v>
      </c>
      <c r="E46" s="18" t="s">
        <v>120</v>
      </c>
      <c r="F46" s="18" t="s">
        <v>42</v>
      </c>
      <c r="G46" s="18" t="s">
        <v>121</v>
      </c>
      <c r="H46" s="19" t="s">
        <v>122</v>
      </c>
      <c r="I46" s="17" t="s">
        <v>106</v>
      </c>
    </row>
    <row r="47" customFormat="false" ht="19.5" hidden="false" customHeight="true" outlineLevel="0" collapsed="false">
      <c r="A47" s="10" t="s">
        <v>123</v>
      </c>
      <c r="B47" s="10"/>
      <c r="C47" s="10"/>
      <c r="D47" s="10"/>
      <c r="E47" s="10"/>
      <c r="F47" s="10"/>
      <c r="G47" s="10"/>
      <c r="H47" s="10"/>
      <c r="I47" s="10"/>
    </row>
    <row r="48" customFormat="false" ht="46.5" hidden="false" customHeight="true" outlineLevel="0" collapsed="false">
      <c r="A48" s="26" t="n">
        <v>30</v>
      </c>
      <c r="B48" s="12" t="n">
        <v>46461</v>
      </c>
      <c r="C48" s="13" t="str">
        <f aca="false">TEXT(B48,"ddd")</f>
        <v>Mon</v>
      </c>
      <c r="D48" s="27" t="s">
        <v>124</v>
      </c>
      <c r="E48" s="15" t="s">
        <v>125</v>
      </c>
      <c r="F48" s="15" t="s">
        <v>34</v>
      </c>
      <c r="G48" s="15" t="s">
        <v>126</v>
      </c>
      <c r="H48" s="13" t="s">
        <v>36</v>
      </c>
      <c r="I48" s="13" t="s">
        <v>127</v>
      </c>
    </row>
    <row r="49" customFormat="false" ht="60" hidden="false" customHeight="true" outlineLevel="0" collapsed="false">
      <c r="A49" s="26" t="n">
        <v>31</v>
      </c>
      <c r="B49" s="16" t="n">
        <v>46463</v>
      </c>
      <c r="C49" s="17" t="str">
        <f aca="false">TEXT(B49,"ddd")</f>
        <v>Wed</v>
      </c>
      <c r="D49" s="27" t="s">
        <v>124</v>
      </c>
      <c r="E49" s="18" t="s">
        <v>128</v>
      </c>
      <c r="F49" s="18" t="s">
        <v>39</v>
      </c>
      <c r="G49" s="18" t="s">
        <v>129</v>
      </c>
      <c r="H49" s="17" t="s">
        <v>36</v>
      </c>
      <c r="I49" s="17" t="s">
        <v>130</v>
      </c>
    </row>
    <row r="50" customFormat="false" ht="46.5" hidden="false" customHeight="true" outlineLevel="0" collapsed="false">
      <c r="A50" s="26" t="n">
        <v>32</v>
      </c>
      <c r="B50" s="12" t="n">
        <v>46465</v>
      </c>
      <c r="C50" s="13" t="str">
        <f aca="false">TEXT(B50,"ddd")</f>
        <v>Fri</v>
      </c>
      <c r="D50" s="27" t="s">
        <v>124</v>
      </c>
      <c r="E50" s="15" t="s">
        <v>131</v>
      </c>
      <c r="F50" s="15" t="s">
        <v>78</v>
      </c>
      <c r="G50" s="15" t="s">
        <v>132</v>
      </c>
      <c r="H50" s="13" t="s">
        <v>36</v>
      </c>
      <c r="I50" s="13" t="s">
        <v>130</v>
      </c>
    </row>
    <row r="51" customFormat="false" ht="33" hidden="false" customHeight="true" outlineLevel="0" collapsed="false">
      <c r="A51" s="26" t="n">
        <v>33</v>
      </c>
      <c r="B51" s="16" t="n">
        <v>46468</v>
      </c>
      <c r="C51" s="17" t="str">
        <f aca="false">TEXT(B51,"ddd")</f>
        <v>Mon</v>
      </c>
      <c r="D51" s="27" t="s">
        <v>124</v>
      </c>
      <c r="E51" s="18" t="s">
        <v>133</v>
      </c>
      <c r="F51" s="18" t="s">
        <v>52</v>
      </c>
      <c r="G51" s="18" t="s">
        <v>134</v>
      </c>
      <c r="H51" s="17" t="s">
        <v>36</v>
      </c>
      <c r="I51" s="17" t="s">
        <v>135</v>
      </c>
    </row>
    <row r="52" customFormat="false" ht="46.5" hidden="false" customHeight="true" outlineLevel="0" collapsed="false">
      <c r="A52" s="26" t="n">
        <v>34</v>
      </c>
      <c r="B52" s="12" t="n">
        <v>46470</v>
      </c>
      <c r="C52" s="13" t="str">
        <f aca="false">TEXT(B52,"ddd")</f>
        <v>Wed</v>
      </c>
      <c r="D52" s="27" t="s">
        <v>124</v>
      </c>
      <c r="E52" s="15" t="s">
        <v>136</v>
      </c>
      <c r="F52" s="15" t="s">
        <v>46</v>
      </c>
      <c r="G52" s="15" t="s">
        <v>137</v>
      </c>
      <c r="H52" s="13" t="s">
        <v>36</v>
      </c>
      <c r="I52" s="13" t="s">
        <v>135</v>
      </c>
    </row>
    <row r="53" customFormat="false" ht="60" hidden="false" customHeight="true" outlineLevel="0" collapsed="false">
      <c r="A53" s="26" t="n">
        <v>35</v>
      </c>
      <c r="B53" s="16" t="n">
        <v>46472</v>
      </c>
      <c r="C53" s="17" t="str">
        <f aca="false">TEXT(B53,"ddd")</f>
        <v>Fri</v>
      </c>
      <c r="D53" s="27" t="s">
        <v>124</v>
      </c>
      <c r="E53" s="18" t="s">
        <v>138</v>
      </c>
      <c r="F53" s="18" t="s">
        <v>139</v>
      </c>
      <c r="G53" s="18" t="s">
        <v>140</v>
      </c>
      <c r="H53" s="19" t="s">
        <v>141</v>
      </c>
      <c r="I53" s="17" t="s">
        <v>142</v>
      </c>
    </row>
    <row r="55" customFormat="false" ht="19.5" hidden="false" customHeight="true" outlineLevel="0" collapsed="false">
      <c r="A55" s="28" t="s">
        <v>143</v>
      </c>
      <c r="B55" s="28"/>
      <c r="C55" s="28"/>
      <c r="D55" s="28"/>
      <c r="E55" s="28"/>
      <c r="F55" s="28"/>
      <c r="G55" s="28"/>
      <c r="H55" s="28"/>
      <c r="I55" s="28"/>
    </row>
    <row r="56" customFormat="false" ht="30" hidden="false" customHeight="true" outlineLevel="0" collapsed="false">
      <c r="A56" s="9" t="s">
        <v>144</v>
      </c>
      <c r="B56" s="9" t="s">
        <v>145</v>
      </c>
      <c r="C56" s="9" t="s">
        <v>146</v>
      </c>
      <c r="D56" s="9" t="s">
        <v>25</v>
      </c>
      <c r="E56" s="9" t="s">
        <v>147</v>
      </c>
      <c r="F56" s="9" t="s">
        <v>148</v>
      </c>
      <c r="G56" s="9" t="s">
        <v>149</v>
      </c>
      <c r="H56" s="9" t="s">
        <v>150</v>
      </c>
      <c r="I56" s="9" t="s">
        <v>151</v>
      </c>
    </row>
    <row r="57" customFormat="false" ht="30" hidden="false" customHeight="true" outlineLevel="0" collapsed="false">
      <c r="A57" s="11" t="s">
        <v>152</v>
      </c>
      <c r="B57" s="13" t="n">
        <f aca="false">COUNTIF($D$14:$D$53,D57)</f>
        <v>7</v>
      </c>
      <c r="C57" s="29" t="n">
        <f aca="false">B57/$B$62</f>
        <v>0.2</v>
      </c>
      <c r="D57" s="14" t="s">
        <v>32</v>
      </c>
      <c r="E57" s="30" t="n">
        <v>0.2</v>
      </c>
      <c r="F57" s="12" t="n">
        <f aca="false">_xlfn.MINIFS($B$14:$B$53,$D$14:$D$53,D57)</f>
        <v>46391</v>
      </c>
      <c r="G57" s="12" t="n">
        <f aca="false">_xlfn.MAXIFS($B$14:$B$53,$D$14:$D$53,D57)</f>
        <v>46407</v>
      </c>
      <c r="H57" s="12" t="n">
        <f aca="false">G57</f>
        <v>46407</v>
      </c>
      <c r="I57" s="13" t="s">
        <v>153</v>
      </c>
    </row>
    <row r="58" customFormat="false" ht="30" hidden="false" customHeight="true" outlineLevel="0" collapsed="false">
      <c r="A58" s="20" t="s">
        <v>154</v>
      </c>
      <c r="B58" s="17" t="n">
        <f aca="false">COUNTIF($D$14:$D$53,D58)</f>
        <v>7</v>
      </c>
      <c r="C58" s="31" t="n">
        <f aca="false">B58/$B$62</f>
        <v>0.2</v>
      </c>
      <c r="D58" s="21" t="s">
        <v>59</v>
      </c>
      <c r="E58" s="32" t="n">
        <v>0.2</v>
      </c>
      <c r="F58" s="16" t="n">
        <f aca="false">_xlfn.MINIFS($B$14:$B$53,$D$14:$D$53,D58)</f>
        <v>46409</v>
      </c>
      <c r="G58" s="16" t="n">
        <f aca="false">_xlfn.MAXIFS($B$14:$B$53,$D$14:$D$53,D58)</f>
        <v>46423</v>
      </c>
      <c r="H58" s="16" t="n">
        <f aca="false">G58</f>
        <v>46423</v>
      </c>
      <c r="I58" s="17" t="s">
        <v>155</v>
      </c>
    </row>
    <row r="59" customFormat="false" ht="30" hidden="false" customHeight="true" outlineLevel="0" collapsed="false">
      <c r="A59" s="22" t="s">
        <v>156</v>
      </c>
      <c r="B59" s="13" t="n">
        <f aca="false">COUNTIF($D$14:$D$53,D59)</f>
        <v>7</v>
      </c>
      <c r="C59" s="29" t="n">
        <f aca="false">B59/$B$62</f>
        <v>0.2</v>
      </c>
      <c r="D59" s="23" t="s">
        <v>82</v>
      </c>
      <c r="E59" s="30" t="n">
        <v>0.2</v>
      </c>
      <c r="F59" s="12" t="n">
        <f aca="false">_xlfn.MINIFS($B$14:$B$53,$D$14:$D$53,D59)</f>
        <v>46426</v>
      </c>
      <c r="G59" s="12" t="n">
        <f aca="false">_xlfn.MAXIFS($B$14:$B$53,$D$14:$D$53,D59)</f>
        <v>46440</v>
      </c>
      <c r="H59" s="12" t="n">
        <f aca="false">G59</f>
        <v>46440</v>
      </c>
      <c r="I59" s="13" t="s">
        <v>157</v>
      </c>
    </row>
    <row r="60" customFormat="false" ht="30" hidden="false" customHeight="true" outlineLevel="0" collapsed="false">
      <c r="A60" s="24" t="s">
        <v>158</v>
      </c>
      <c r="B60" s="17" t="n">
        <f aca="false">COUNTIF($D$14:$D$53,D60)</f>
        <v>8</v>
      </c>
      <c r="C60" s="31" t="n">
        <f aca="false">B60/$B$62</f>
        <v>0.228571428571429</v>
      </c>
      <c r="D60" s="25" t="s">
        <v>103</v>
      </c>
      <c r="E60" s="32" t="n">
        <v>0.22</v>
      </c>
      <c r="F60" s="16" t="n">
        <f aca="false">_xlfn.MINIFS($B$14:$B$53,$D$14:$D$53,D60)</f>
        <v>46442</v>
      </c>
      <c r="G60" s="16" t="n">
        <f aca="false">_xlfn.MAXIFS($B$14:$B$53,$D$14:$D$53,D60)</f>
        <v>46458</v>
      </c>
      <c r="H60" s="16" t="n">
        <f aca="false">G60</f>
        <v>46458</v>
      </c>
      <c r="I60" s="17" t="s">
        <v>159</v>
      </c>
    </row>
    <row r="61" customFormat="false" ht="30" hidden="false" customHeight="true" outlineLevel="0" collapsed="false">
      <c r="A61" s="26" t="s">
        <v>160</v>
      </c>
      <c r="B61" s="13" t="n">
        <f aca="false">COUNTIF($D$14:$D$53,D61)</f>
        <v>6</v>
      </c>
      <c r="C61" s="29" t="n">
        <f aca="false">B61/$B$62</f>
        <v>0.171428571428571</v>
      </c>
      <c r="D61" s="27" t="s">
        <v>124</v>
      </c>
      <c r="E61" s="30" t="n">
        <v>0.18</v>
      </c>
      <c r="F61" s="12" t="n">
        <f aca="false">_xlfn.MINIFS($B$14:$B$53,$D$14:$D$53,D61)</f>
        <v>46461</v>
      </c>
      <c r="G61" s="12" t="n">
        <f aca="false">_xlfn.MAXIFS($B$14:$B$53,$D$14:$D$53,D61)</f>
        <v>46472</v>
      </c>
      <c r="H61" s="12" t="n">
        <f aca="false">G61</f>
        <v>46472</v>
      </c>
      <c r="I61" s="13" t="s">
        <v>161</v>
      </c>
    </row>
    <row r="62" customFormat="false" ht="19.5" hidden="false" customHeight="true" outlineLevel="0" collapsed="false">
      <c r="A62" s="33" t="s">
        <v>162</v>
      </c>
      <c r="B62" s="33" t="n">
        <f aca="false">SUM(B57:B61)</f>
        <v>35</v>
      </c>
      <c r="C62" s="34" t="n">
        <f aca="false">SUM(C57:C61)</f>
        <v>1</v>
      </c>
      <c r="D62" s="33"/>
      <c r="E62" s="35" t="n">
        <f aca="false">SUM(E57:E61)</f>
        <v>1</v>
      </c>
      <c r="F62" s="36" t="n">
        <f aca="false">MIN(F57:F61)</f>
        <v>46391</v>
      </c>
      <c r="G62" s="36" t="n">
        <f aca="false">MAX(G57:G61)</f>
        <v>46472</v>
      </c>
      <c r="H62" s="36" t="n">
        <f aca="false">MAX(H57:H61)</f>
        <v>46472</v>
      </c>
      <c r="I62" s="33"/>
    </row>
    <row r="64" customFormat="false" ht="19.5" hidden="false" customHeight="true" outlineLevel="0" collapsed="false">
      <c r="A64" s="28" t="s">
        <v>163</v>
      </c>
      <c r="B64" s="28"/>
      <c r="C64" s="28"/>
      <c r="D64" s="28"/>
      <c r="E64" s="28"/>
      <c r="F64" s="28"/>
      <c r="G64" s="28"/>
      <c r="H64" s="28"/>
      <c r="I64" s="28"/>
    </row>
    <row r="65" customFormat="false" ht="18" hidden="false" customHeight="true" outlineLevel="0" collapsed="false">
      <c r="A65" s="6" t="s">
        <v>164</v>
      </c>
      <c r="B65" s="6"/>
      <c r="C65" s="6"/>
      <c r="D65" s="6"/>
      <c r="E65" s="37" t="n">
        <f aca="false">COUNT($B$14:$B$53)</f>
        <v>35</v>
      </c>
      <c r="F65" s="37"/>
    </row>
    <row r="66" customFormat="false" ht="18" hidden="false" customHeight="true" outlineLevel="0" collapsed="false">
      <c r="A66" s="6" t="s">
        <v>165</v>
      </c>
      <c r="B66" s="6"/>
      <c r="C66" s="6"/>
      <c r="D66" s="6"/>
      <c r="E66" s="38" t="n">
        <f aca="false">$D$10</f>
        <v>46389</v>
      </c>
      <c r="F66" s="38"/>
    </row>
    <row r="67" customFormat="false" ht="18" hidden="false" customHeight="true" outlineLevel="0" collapsed="false">
      <c r="A67" s="6" t="s">
        <v>166</v>
      </c>
      <c r="B67" s="6"/>
      <c r="C67" s="6"/>
      <c r="D67" s="6"/>
      <c r="E67" s="38" t="n">
        <f aca="false">MIN($B$14:$B$53)</f>
        <v>46391</v>
      </c>
      <c r="F67" s="38"/>
    </row>
    <row r="68" customFormat="false" ht="18" hidden="false" customHeight="true" outlineLevel="0" collapsed="false">
      <c r="A68" s="6" t="s">
        <v>167</v>
      </c>
      <c r="B68" s="6"/>
      <c r="C68" s="6"/>
      <c r="D68" s="6"/>
      <c r="E68" s="39" t="n">
        <f aca="false">MAX($B$14:$B$53)</f>
        <v>46472</v>
      </c>
      <c r="F68" s="39"/>
    </row>
    <row r="69" customFormat="false" ht="18" hidden="false" customHeight="true" outlineLevel="0" collapsed="false">
      <c r="A69" s="6" t="s">
        <v>168</v>
      </c>
      <c r="B69" s="6"/>
      <c r="C69" s="6"/>
      <c r="D69" s="6"/>
      <c r="E69" s="37" t="n">
        <f aca="false">COUNT('Session Calendar'!$A$30:$A$30)</f>
        <v>1</v>
      </c>
      <c r="F69" s="37"/>
    </row>
    <row r="70" customFormat="false" ht="18" hidden="false" customHeight="true" outlineLevel="0" collapsed="false">
      <c r="A70" s="6" t="s">
        <v>169</v>
      </c>
      <c r="B70" s="6"/>
      <c r="C70" s="6"/>
      <c r="D70" s="6"/>
      <c r="E70" s="37" t="n">
        <f aca="false">ROUNDUP((MAX($B$14:$B$53)-MIN($B$14:$B$53)+1)/7,0)</f>
        <v>12</v>
      </c>
      <c r="F70" s="37"/>
    </row>
    <row r="72" customFormat="false" ht="19.5" hidden="false" customHeight="true" outlineLevel="0" collapsed="false">
      <c r="A72" s="28" t="s">
        <v>170</v>
      </c>
      <c r="B72" s="28"/>
      <c r="C72" s="28"/>
      <c r="D72" s="28"/>
      <c r="E72" s="28"/>
      <c r="F72" s="28"/>
      <c r="G72" s="28"/>
      <c r="H72" s="28"/>
      <c r="I72" s="28"/>
    </row>
    <row r="73" customFormat="false" ht="30.75" hidden="false" customHeight="true" outlineLevel="0" collapsed="false">
      <c r="A73" s="40" t="s">
        <v>171</v>
      </c>
      <c r="B73" s="40"/>
      <c r="C73" s="40"/>
      <c r="D73" s="40"/>
      <c r="E73" s="40"/>
      <c r="F73" s="40"/>
      <c r="G73" s="40"/>
      <c r="H73" s="40"/>
      <c r="I73" s="40"/>
    </row>
    <row r="74" customFormat="false" ht="16.5" hidden="false" customHeight="true" outlineLevel="0" collapsed="false">
      <c r="A74" s="40" t="s">
        <v>172</v>
      </c>
      <c r="B74" s="40"/>
      <c r="C74" s="40"/>
      <c r="D74" s="40"/>
      <c r="E74" s="40"/>
      <c r="F74" s="40"/>
      <c r="G74" s="40"/>
      <c r="H74" s="40"/>
      <c r="I74" s="40"/>
    </row>
    <row r="75" customFormat="false" ht="16.5" hidden="false" customHeight="true" outlineLevel="0" collapsed="false">
      <c r="A75" s="40" t="s">
        <v>173</v>
      </c>
      <c r="B75" s="40"/>
      <c r="C75" s="40"/>
      <c r="D75" s="40"/>
      <c r="E75" s="40"/>
      <c r="F75" s="40"/>
      <c r="G75" s="40"/>
      <c r="H75" s="40"/>
      <c r="I75" s="40"/>
    </row>
    <row r="76" customFormat="false" ht="30.75" hidden="false" customHeight="true" outlineLevel="0" collapsed="false">
      <c r="A76" s="40" t="s">
        <v>174</v>
      </c>
      <c r="B76" s="40"/>
      <c r="C76" s="40"/>
      <c r="D76" s="40"/>
      <c r="E76" s="40"/>
      <c r="F76" s="40"/>
      <c r="G76" s="40"/>
      <c r="H76" s="40"/>
      <c r="I76" s="40"/>
    </row>
    <row r="77" customFormat="false" ht="16.5" hidden="false" customHeight="true" outlineLevel="0" collapsed="false">
      <c r="A77" s="40" t="s">
        <v>175</v>
      </c>
      <c r="B77" s="40"/>
      <c r="C77" s="40"/>
      <c r="D77" s="40"/>
      <c r="E77" s="40"/>
      <c r="F77" s="40"/>
      <c r="G77" s="40"/>
      <c r="H77" s="40"/>
      <c r="I77" s="40"/>
    </row>
    <row r="78" customFormat="false" ht="16.5" hidden="false" customHeight="true" outlineLevel="0" collapsed="false">
      <c r="A78" s="40" t="s">
        <v>176</v>
      </c>
      <c r="B78" s="40"/>
      <c r="C78" s="40"/>
      <c r="D78" s="40"/>
      <c r="E78" s="40"/>
      <c r="F78" s="40"/>
      <c r="G78" s="40"/>
      <c r="H78" s="40"/>
      <c r="I78" s="40"/>
    </row>
    <row r="79" customFormat="false" ht="16.5" hidden="false" customHeight="true" outlineLevel="0" collapsed="false">
      <c r="A79" s="40" t="s">
        <v>177</v>
      </c>
      <c r="B79" s="40"/>
      <c r="C79" s="40"/>
      <c r="D79" s="40"/>
      <c r="E79" s="40"/>
      <c r="F79" s="40"/>
      <c r="G79" s="40"/>
      <c r="H79" s="40"/>
      <c r="I79" s="40"/>
    </row>
    <row r="80" customFormat="false" ht="16.5" hidden="false" customHeight="true" outlineLevel="0" collapsed="false">
      <c r="A80" s="40" t="s">
        <v>178</v>
      </c>
      <c r="B80" s="40"/>
      <c r="C80" s="40"/>
      <c r="D80" s="40"/>
      <c r="E80" s="40"/>
      <c r="F80" s="40"/>
      <c r="G80" s="40"/>
      <c r="H80" s="40"/>
      <c r="I80" s="40"/>
    </row>
    <row r="82" customFormat="false" ht="37.5" hidden="false" customHeight="true" outlineLevel="0" collapsed="false">
      <c r="A82" s="41"/>
      <c r="B82" s="41"/>
      <c r="C82" s="41"/>
      <c r="D82" s="41"/>
      <c r="E82" s="41"/>
      <c r="F82" s="41"/>
      <c r="G82" s="41"/>
      <c r="H82" s="41"/>
      <c r="I82" s="41"/>
    </row>
    <row r="83" customFormat="false" ht="43.5" hidden="false" customHeight="true" outlineLevel="0" collapsed="false">
      <c r="A83" s="42" t="s">
        <v>179</v>
      </c>
      <c r="B83" s="42"/>
      <c r="C83" s="42"/>
      <c r="D83" s="42" t="s">
        <v>180</v>
      </c>
      <c r="E83" s="42"/>
      <c r="F83" s="42"/>
      <c r="G83" s="42" t="s">
        <v>181</v>
      </c>
      <c r="H83" s="42"/>
      <c r="I83" s="42"/>
    </row>
  </sheetData>
  <mergeCells count="51">
    <mergeCell ref="A1:I1"/>
    <mergeCell ref="A2:I2"/>
    <mergeCell ref="A3:I3"/>
    <mergeCell ref="A4:I4"/>
    <mergeCell ref="A5:I5"/>
    <mergeCell ref="A7:C7"/>
    <mergeCell ref="D7:E7"/>
    <mergeCell ref="G7:I7"/>
    <mergeCell ref="A8:C8"/>
    <mergeCell ref="D8:E8"/>
    <mergeCell ref="G8:I8"/>
    <mergeCell ref="A9:C9"/>
    <mergeCell ref="D9:E9"/>
    <mergeCell ref="G9:I9"/>
    <mergeCell ref="A10:C10"/>
    <mergeCell ref="D10:E10"/>
    <mergeCell ref="G10:I10"/>
    <mergeCell ref="A11:C11"/>
    <mergeCell ref="D11:E11"/>
    <mergeCell ref="G11:I11"/>
    <mergeCell ref="A14:I14"/>
    <mergeCell ref="A22:I22"/>
    <mergeCell ref="A30:I30"/>
    <mergeCell ref="A38:I38"/>
    <mergeCell ref="A47:I47"/>
    <mergeCell ref="A55:I55"/>
    <mergeCell ref="A64:I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2:I72"/>
    <mergeCell ref="A73:I73"/>
    <mergeCell ref="A74:I74"/>
    <mergeCell ref="A75:I75"/>
    <mergeCell ref="A76:I76"/>
    <mergeCell ref="A77:I77"/>
    <mergeCell ref="A78:I78"/>
    <mergeCell ref="A79:I79"/>
    <mergeCell ref="A80:I80"/>
    <mergeCell ref="A83:C83"/>
    <mergeCell ref="D83:F83"/>
    <mergeCell ref="G83:I83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Hindu Girls College, Sonipat | Department of Computer Applications | Python Programming – Course Work Plan |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8"/>
    <col collapsed="false" customWidth="true" hidden="false" outlineLevel="0" max="4" min="3" style="0" width="14"/>
    <col collapsed="false" customWidth="true" hidden="false" outlineLevel="0" max="5" min="5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</row>
    <row r="4" customFormat="false" ht="24" hidden="false" customHeight="true" outlineLevel="0" collapsed="false">
      <c r="A4" s="4" t="s">
        <v>182</v>
      </c>
      <c r="B4" s="4"/>
      <c r="C4" s="4"/>
      <c r="D4" s="4"/>
      <c r="E4" s="4"/>
    </row>
    <row r="5" customFormat="false" ht="18" hidden="false" customHeight="true" outlineLevel="0" collapsed="false">
      <c r="A5" s="5" t="s">
        <v>4</v>
      </c>
      <c r="B5" s="5"/>
      <c r="C5" s="5"/>
      <c r="D5" s="5"/>
      <c r="E5" s="5"/>
    </row>
    <row r="6" customFormat="false" ht="6" hidden="false" customHeight="true" outlineLevel="0" collapsed="false"/>
    <row r="7" customFormat="false" ht="24" hidden="false" customHeight="true" outlineLevel="0" collapsed="false">
      <c r="A7" s="43" t="s">
        <v>183</v>
      </c>
      <c r="B7" s="43"/>
      <c r="C7" s="43"/>
      <c r="D7" s="43"/>
      <c r="E7" s="43"/>
    </row>
    <row r="9" customFormat="false" ht="30" hidden="false" customHeight="true" outlineLevel="0" collapsed="false">
      <c r="A9" s="9" t="s">
        <v>184</v>
      </c>
      <c r="B9" s="9" t="s">
        <v>185</v>
      </c>
      <c r="C9" s="9" t="s">
        <v>186</v>
      </c>
      <c r="D9" s="9" t="s">
        <v>187</v>
      </c>
      <c r="E9" s="9" t="s">
        <v>188</v>
      </c>
    </row>
    <row r="10" customFormat="false" ht="31.5" hidden="false" customHeight="true" outlineLevel="0" collapsed="false">
      <c r="A10" s="44" t="s">
        <v>153</v>
      </c>
      <c r="B10" s="15" t="s">
        <v>189</v>
      </c>
      <c r="C10" s="13" t="s">
        <v>190</v>
      </c>
      <c r="D10" s="13" t="s">
        <v>152</v>
      </c>
      <c r="E10" s="13" t="n">
        <f aca="false">COUNTIF('Lecture Plan'!$I$14:$I$53,"CO1*")</f>
        <v>7</v>
      </c>
    </row>
    <row r="11" customFormat="false" ht="31.5" hidden="false" customHeight="true" outlineLevel="0" collapsed="false">
      <c r="A11" s="45" t="s">
        <v>155</v>
      </c>
      <c r="B11" s="18" t="s">
        <v>191</v>
      </c>
      <c r="C11" s="17" t="s">
        <v>190</v>
      </c>
      <c r="D11" s="17" t="s">
        <v>154</v>
      </c>
      <c r="E11" s="17" t="n">
        <f aca="false">COUNTIF('Lecture Plan'!$I$14:$I$53,"CO2*")</f>
        <v>7</v>
      </c>
    </row>
    <row r="12" customFormat="false" ht="31.5" hidden="false" customHeight="true" outlineLevel="0" collapsed="false">
      <c r="A12" s="44" t="s">
        <v>157</v>
      </c>
      <c r="B12" s="15" t="s">
        <v>192</v>
      </c>
      <c r="C12" s="13" t="s">
        <v>193</v>
      </c>
      <c r="D12" s="13" t="s">
        <v>156</v>
      </c>
      <c r="E12" s="13" t="n">
        <f aca="false">COUNTIF('Lecture Plan'!$I$14:$I$53,"CO3*")</f>
        <v>7</v>
      </c>
    </row>
    <row r="13" customFormat="false" ht="31.5" hidden="false" customHeight="true" outlineLevel="0" collapsed="false">
      <c r="A13" s="45" t="s">
        <v>159</v>
      </c>
      <c r="B13" s="18" t="s">
        <v>194</v>
      </c>
      <c r="C13" s="17" t="s">
        <v>193</v>
      </c>
      <c r="D13" s="17" t="s">
        <v>158</v>
      </c>
      <c r="E13" s="17" t="n">
        <f aca="false">COUNTIF('Lecture Plan'!$I$14:$I$53,"CO4*")</f>
        <v>8</v>
      </c>
    </row>
    <row r="14" customFormat="false" ht="31.5" hidden="false" customHeight="true" outlineLevel="0" collapsed="false">
      <c r="A14" s="44" t="s">
        <v>161</v>
      </c>
      <c r="B14" s="15" t="s">
        <v>195</v>
      </c>
      <c r="C14" s="13" t="s">
        <v>196</v>
      </c>
      <c r="D14" s="13" t="s">
        <v>160</v>
      </c>
      <c r="E14" s="13" t="n">
        <f aca="false">COUNTIF('Lecture Plan'!$I$14:$I$53,"CO5*")</f>
        <v>6</v>
      </c>
    </row>
    <row r="15" customFormat="false" ht="15" hidden="false" customHeight="false" outlineLevel="0" collapsed="false">
      <c r="A15" s="33" t="s">
        <v>162</v>
      </c>
      <c r="B15" s="33"/>
      <c r="C15" s="33"/>
      <c r="D15" s="33"/>
      <c r="E15" s="33" t="n">
        <f aca="false">SUM(E10:E14)</f>
        <v>35</v>
      </c>
    </row>
    <row r="17" customFormat="false" ht="19.5" hidden="false" customHeight="true" outlineLevel="0" collapsed="false">
      <c r="A17" s="28" t="s">
        <v>197</v>
      </c>
      <c r="B17" s="28"/>
      <c r="C17" s="28"/>
      <c r="D17" s="28"/>
      <c r="E17" s="28"/>
    </row>
    <row r="18" customFormat="false" ht="15" hidden="false" customHeight="true" outlineLevel="0" collapsed="false">
      <c r="A18" s="9" t="s">
        <v>198</v>
      </c>
      <c r="B18" s="9" t="s">
        <v>199</v>
      </c>
      <c r="C18" s="9" t="s">
        <v>200</v>
      </c>
      <c r="D18" s="9"/>
      <c r="E18" s="9"/>
    </row>
    <row r="19" customFormat="false" ht="18" hidden="false" customHeight="true" outlineLevel="0" collapsed="false">
      <c r="A19" s="44" t="s">
        <v>201</v>
      </c>
      <c r="B19" s="15" t="s">
        <v>202</v>
      </c>
      <c r="C19" s="13" t="s">
        <v>203</v>
      </c>
      <c r="D19" s="13"/>
      <c r="E19" s="13"/>
    </row>
    <row r="20" customFormat="false" ht="18" hidden="false" customHeight="true" outlineLevel="0" collapsed="false">
      <c r="A20" s="45" t="s">
        <v>204</v>
      </c>
      <c r="B20" s="18" t="s">
        <v>205</v>
      </c>
      <c r="C20" s="17" t="s">
        <v>206</v>
      </c>
      <c r="D20" s="17"/>
      <c r="E20" s="17"/>
    </row>
    <row r="21" customFormat="false" ht="18" hidden="false" customHeight="true" outlineLevel="0" collapsed="false">
      <c r="A21" s="44" t="s">
        <v>190</v>
      </c>
      <c r="B21" s="15" t="s">
        <v>207</v>
      </c>
      <c r="C21" s="13" t="s">
        <v>208</v>
      </c>
      <c r="D21" s="13"/>
      <c r="E21" s="13"/>
    </row>
    <row r="22" customFormat="false" ht="18" hidden="false" customHeight="true" outlineLevel="0" collapsed="false">
      <c r="A22" s="45" t="s">
        <v>193</v>
      </c>
      <c r="B22" s="18" t="s">
        <v>209</v>
      </c>
      <c r="C22" s="17" t="s">
        <v>210</v>
      </c>
      <c r="D22" s="17"/>
      <c r="E22" s="17"/>
    </row>
    <row r="23" customFormat="false" ht="18" hidden="false" customHeight="true" outlineLevel="0" collapsed="false">
      <c r="A23" s="44" t="s">
        <v>211</v>
      </c>
      <c r="B23" s="15" t="s">
        <v>212</v>
      </c>
      <c r="C23" s="13" t="s">
        <v>213</v>
      </c>
      <c r="D23" s="13"/>
      <c r="E23" s="13"/>
    </row>
    <row r="24" customFormat="false" ht="18" hidden="false" customHeight="true" outlineLevel="0" collapsed="false">
      <c r="A24" s="45" t="s">
        <v>196</v>
      </c>
      <c r="B24" s="18" t="s">
        <v>214</v>
      </c>
      <c r="C24" s="17" t="s">
        <v>215</v>
      </c>
      <c r="D24" s="17"/>
      <c r="E24" s="17"/>
    </row>
  </sheetData>
  <mergeCells count="14">
    <mergeCell ref="A1:E1"/>
    <mergeCell ref="A2:E2"/>
    <mergeCell ref="A3:E3"/>
    <mergeCell ref="A4:E4"/>
    <mergeCell ref="A5:E5"/>
    <mergeCell ref="A7:E7"/>
    <mergeCell ref="A17:E17"/>
    <mergeCell ref="C18:E18"/>
    <mergeCell ref="C19:E19"/>
    <mergeCell ref="C20:E20"/>
    <mergeCell ref="C21:E21"/>
    <mergeCell ref="C22:E22"/>
    <mergeCell ref="C23:E23"/>
    <mergeCell ref="C24:E24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Hindu Girls College, Sonipat | Department of Computer Applications | Python Programming – Course Work Plan |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2.5"/>
    <col collapsed="false" customWidth="true" hidden="false" outlineLevel="0" max="8" min="8" style="0" width="3"/>
    <col collapsed="false" customWidth="true" hidden="false" outlineLevel="0" max="15" min="9" style="0" width="12.5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24" hidden="false" customHeight="true" outlineLevel="0" collapsed="false">
      <c r="A4" s="4" t="s">
        <v>216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customFormat="false" ht="18" hidden="false" customHeight="true" outlineLevel="0" collapsed="false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customFormat="false" ht="6" hidden="false" customHeight="true" outlineLevel="0" collapsed="false"/>
    <row r="7" customFormat="false" ht="19.5" hidden="false" customHeight="true" outlineLevel="0" collapsed="false">
      <c r="A7" s="46" t="s">
        <v>217</v>
      </c>
      <c r="B7" s="46"/>
      <c r="C7" s="46"/>
      <c r="D7" s="46"/>
      <c r="E7" s="46"/>
      <c r="F7" s="46"/>
      <c r="G7" s="46"/>
      <c r="I7" s="46" t="s">
        <v>218</v>
      </c>
      <c r="J7" s="46"/>
      <c r="K7" s="46"/>
      <c r="L7" s="46"/>
      <c r="M7" s="46"/>
      <c r="N7" s="46"/>
      <c r="O7" s="46"/>
    </row>
    <row r="8" customFormat="false" ht="15" hidden="false" customHeight="false" outlineLevel="0" collapsed="false">
      <c r="A8" s="47" t="s">
        <v>219</v>
      </c>
      <c r="B8" s="47" t="s">
        <v>220</v>
      </c>
      <c r="C8" s="47" t="s">
        <v>221</v>
      </c>
      <c r="D8" s="47" t="s">
        <v>222</v>
      </c>
      <c r="E8" s="47" t="s">
        <v>223</v>
      </c>
      <c r="F8" s="47" t="s">
        <v>224</v>
      </c>
      <c r="G8" s="47" t="s">
        <v>225</v>
      </c>
      <c r="I8" s="47" t="s">
        <v>219</v>
      </c>
      <c r="J8" s="47" t="s">
        <v>220</v>
      </c>
      <c r="K8" s="47" t="s">
        <v>221</v>
      </c>
      <c r="L8" s="47" t="s">
        <v>222</v>
      </c>
      <c r="M8" s="47" t="s">
        <v>223</v>
      </c>
      <c r="N8" s="47" t="s">
        <v>224</v>
      </c>
      <c r="O8" s="47" t="s">
        <v>225</v>
      </c>
    </row>
    <row r="9" customFormat="false" ht="39.75" hidden="false" customHeight="true" outlineLevel="0" collapsed="false">
      <c r="A9" s="48"/>
      <c r="B9" s="48"/>
      <c r="C9" s="48"/>
      <c r="D9" s="48"/>
      <c r="E9" s="48" t="s">
        <v>226</v>
      </c>
      <c r="F9" s="49" t="s">
        <v>227</v>
      </c>
      <c r="G9" s="49" t="s">
        <v>228</v>
      </c>
      <c r="I9" s="50" t="s">
        <v>229</v>
      </c>
      <c r="J9" s="48" t="s">
        <v>230</v>
      </c>
      <c r="K9" s="50" t="s">
        <v>231</v>
      </c>
      <c r="L9" s="48" t="s">
        <v>232</v>
      </c>
      <c r="M9" s="50" t="s">
        <v>233</v>
      </c>
      <c r="N9" s="49" t="s">
        <v>234</v>
      </c>
      <c r="O9" s="49" t="s">
        <v>235</v>
      </c>
    </row>
    <row r="10" customFormat="false" ht="39.75" hidden="false" customHeight="true" outlineLevel="0" collapsed="false">
      <c r="A10" s="51" t="s">
        <v>236</v>
      </c>
      <c r="B10" s="48" t="s">
        <v>237</v>
      </c>
      <c r="C10" s="51" t="s">
        <v>238</v>
      </c>
      <c r="D10" s="48" t="s">
        <v>235</v>
      </c>
      <c r="E10" s="51" t="s">
        <v>239</v>
      </c>
      <c r="F10" s="49" t="s">
        <v>240</v>
      </c>
      <c r="G10" s="49" t="s">
        <v>241</v>
      </c>
      <c r="I10" s="52" t="s">
        <v>242</v>
      </c>
      <c r="J10" s="53" t="s">
        <v>243</v>
      </c>
      <c r="K10" s="52" t="s">
        <v>244</v>
      </c>
      <c r="L10" s="48" t="s">
        <v>245</v>
      </c>
      <c r="M10" s="52" t="s">
        <v>246</v>
      </c>
      <c r="N10" s="49" t="s">
        <v>247</v>
      </c>
      <c r="O10" s="49" t="s">
        <v>248</v>
      </c>
    </row>
    <row r="11" customFormat="false" ht="39.75" hidden="false" customHeight="true" outlineLevel="0" collapsed="false">
      <c r="A11" s="51" t="s">
        <v>249</v>
      </c>
      <c r="B11" s="48" t="s">
        <v>250</v>
      </c>
      <c r="C11" s="51" t="s">
        <v>251</v>
      </c>
      <c r="D11" s="53" t="s">
        <v>252</v>
      </c>
      <c r="E11" s="53" t="s">
        <v>253</v>
      </c>
      <c r="F11" s="49" t="s">
        <v>254</v>
      </c>
      <c r="G11" s="49" t="s">
        <v>255</v>
      </c>
      <c r="I11" s="52" t="s">
        <v>256</v>
      </c>
      <c r="J11" s="48" t="s">
        <v>254</v>
      </c>
      <c r="K11" s="52" t="s">
        <v>257</v>
      </c>
      <c r="L11" s="48" t="s">
        <v>258</v>
      </c>
      <c r="M11" s="52" t="s">
        <v>259</v>
      </c>
      <c r="N11" s="49" t="s">
        <v>260</v>
      </c>
      <c r="O11" s="49" t="s">
        <v>261</v>
      </c>
    </row>
    <row r="12" customFormat="false" ht="39.75" hidden="false" customHeight="true" outlineLevel="0" collapsed="false">
      <c r="A12" s="51" t="s">
        <v>262</v>
      </c>
      <c r="B12" s="48" t="s">
        <v>263</v>
      </c>
      <c r="C12" s="51" t="s">
        <v>264</v>
      </c>
      <c r="D12" s="48" t="s">
        <v>261</v>
      </c>
      <c r="E12" s="50" t="s">
        <v>265</v>
      </c>
      <c r="F12" s="49" t="s">
        <v>266</v>
      </c>
      <c r="G12" s="49" t="s">
        <v>267</v>
      </c>
      <c r="I12" s="52" t="s">
        <v>268</v>
      </c>
      <c r="J12" s="48" t="s">
        <v>266</v>
      </c>
      <c r="K12" s="54" t="s">
        <v>269</v>
      </c>
      <c r="L12" s="48" t="s">
        <v>270</v>
      </c>
      <c r="M12" s="54" t="s">
        <v>271</v>
      </c>
      <c r="N12" s="49" t="s">
        <v>272</v>
      </c>
      <c r="O12" s="49" t="s">
        <v>273</v>
      </c>
    </row>
    <row r="13" customFormat="false" ht="39.75" hidden="false" customHeight="true" outlineLevel="0" collapsed="false">
      <c r="A13" s="50" t="s">
        <v>274</v>
      </c>
      <c r="B13" s="53" t="s">
        <v>275</v>
      </c>
      <c r="C13" s="50" t="s">
        <v>276</v>
      </c>
      <c r="D13" s="48" t="s">
        <v>273</v>
      </c>
      <c r="E13" s="50" t="s">
        <v>277</v>
      </c>
      <c r="F13" s="49" t="s">
        <v>278</v>
      </c>
      <c r="G13" s="49" t="s">
        <v>279</v>
      </c>
      <c r="I13" s="48"/>
      <c r="J13" s="48"/>
      <c r="K13" s="48"/>
      <c r="L13" s="48"/>
      <c r="M13" s="48"/>
      <c r="N13" s="48"/>
      <c r="O13" s="48"/>
    </row>
    <row r="15" customFormat="false" ht="19.5" hidden="false" customHeight="true" outlineLevel="0" collapsed="false">
      <c r="A15" s="46" t="s">
        <v>280</v>
      </c>
      <c r="B15" s="46"/>
      <c r="C15" s="46"/>
      <c r="D15" s="46"/>
      <c r="E15" s="46"/>
      <c r="F15" s="46"/>
      <c r="G15" s="46"/>
    </row>
    <row r="16" customFormat="false" ht="15" hidden="false" customHeight="false" outlineLevel="0" collapsed="false">
      <c r="A16" s="47" t="s">
        <v>219</v>
      </c>
      <c r="B16" s="47" t="s">
        <v>220</v>
      </c>
      <c r="C16" s="47" t="s">
        <v>221</v>
      </c>
      <c r="D16" s="47" t="s">
        <v>222</v>
      </c>
      <c r="E16" s="47" t="s">
        <v>223</v>
      </c>
      <c r="F16" s="47" t="s">
        <v>224</v>
      </c>
      <c r="G16" s="47" t="s">
        <v>225</v>
      </c>
    </row>
    <row r="17" customFormat="false" ht="39.75" hidden="false" customHeight="true" outlineLevel="0" collapsed="false">
      <c r="A17" s="54" t="s">
        <v>281</v>
      </c>
      <c r="B17" s="53" t="s">
        <v>282</v>
      </c>
      <c r="C17" s="54" t="s">
        <v>283</v>
      </c>
      <c r="D17" s="48" t="s">
        <v>232</v>
      </c>
      <c r="E17" s="54" t="s">
        <v>284</v>
      </c>
      <c r="F17" s="49" t="s">
        <v>234</v>
      </c>
      <c r="G17" s="49" t="s">
        <v>235</v>
      </c>
    </row>
    <row r="18" customFormat="false" ht="39.75" hidden="false" customHeight="true" outlineLevel="0" collapsed="false">
      <c r="A18" s="54" t="s">
        <v>285</v>
      </c>
      <c r="B18" s="48" t="s">
        <v>240</v>
      </c>
      <c r="C18" s="54" t="s">
        <v>286</v>
      </c>
      <c r="D18" s="48" t="s">
        <v>245</v>
      </c>
      <c r="E18" s="54" t="s">
        <v>287</v>
      </c>
      <c r="F18" s="49" t="s">
        <v>247</v>
      </c>
      <c r="G18" s="49" t="s">
        <v>248</v>
      </c>
    </row>
    <row r="19" customFormat="false" ht="39.75" hidden="false" customHeight="true" outlineLevel="0" collapsed="false">
      <c r="A19" s="55" t="s">
        <v>288</v>
      </c>
      <c r="B19" s="48" t="s">
        <v>254</v>
      </c>
      <c r="C19" s="55" t="s">
        <v>289</v>
      </c>
      <c r="D19" s="48" t="s">
        <v>258</v>
      </c>
      <c r="E19" s="55" t="s">
        <v>290</v>
      </c>
      <c r="F19" s="49" t="s">
        <v>260</v>
      </c>
      <c r="G19" s="49" t="s">
        <v>261</v>
      </c>
    </row>
    <row r="20" customFormat="false" ht="39.75" hidden="false" customHeight="true" outlineLevel="0" collapsed="false">
      <c r="A20" s="55" t="s">
        <v>291</v>
      </c>
      <c r="B20" s="48" t="s">
        <v>266</v>
      </c>
      <c r="C20" s="55" t="s">
        <v>292</v>
      </c>
      <c r="D20" s="48" t="s">
        <v>270</v>
      </c>
      <c r="E20" s="55" t="s">
        <v>293</v>
      </c>
      <c r="F20" s="49" t="s">
        <v>272</v>
      </c>
      <c r="G20" s="49" t="s">
        <v>273</v>
      </c>
    </row>
    <row r="21" customFormat="false" ht="39.75" hidden="false" customHeight="true" outlineLevel="0" collapsed="false">
      <c r="A21" s="48" t="s">
        <v>294</v>
      </c>
      <c r="B21" s="48" t="s">
        <v>278</v>
      </c>
      <c r="C21" s="48" t="s">
        <v>279</v>
      </c>
      <c r="D21" s="48"/>
      <c r="E21" s="48"/>
      <c r="F21" s="48"/>
      <c r="G21" s="48"/>
    </row>
    <row r="23" customFormat="false" ht="19.5" hidden="false" customHeight="true" outlineLevel="0" collapsed="false">
      <c r="A23" s="28" t="s">
        <v>295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</row>
    <row r="24" customFormat="false" ht="18" hidden="false" customHeight="true" outlineLevel="0" collapsed="false">
      <c r="A24" s="56"/>
      <c r="B24" s="57" t="s">
        <v>296</v>
      </c>
      <c r="E24" s="58"/>
      <c r="F24" s="57" t="s">
        <v>297</v>
      </c>
      <c r="I24" s="59"/>
      <c r="J24" s="57" t="s">
        <v>298</v>
      </c>
      <c r="M24" s="60"/>
      <c r="N24" s="57" t="s">
        <v>299</v>
      </c>
    </row>
    <row r="25" customFormat="false" ht="18" hidden="false" customHeight="true" outlineLevel="0" collapsed="false">
      <c r="A25" s="61"/>
      <c r="B25" s="57" t="s">
        <v>300</v>
      </c>
      <c r="E25" s="62"/>
      <c r="F25" s="57" t="s">
        <v>301</v>
      </c>
      <c r="I25" s="63"/>
      <c r="J25" s="57" t="s">
        <v>302</v>
      </c>
      <c r="M25" s="64"/>
      <c r="N25" s="57" t="s">
        <v>303</v>
      </c>
    </row>
    <row r="28" customFormat="false" ht="19.5" hidden="false" customHeight="true" outlineLevel="0" collapsed="false">
      <c r="A28" s="28" t="s">
        <v>304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</row>
    <row r="29" customFormat="false" ht="15" hidden="false" customHeight="true" outlineLevel="0" collapsed="false">
      <c r="A29" s="9" t="s">
        <v>23</v>
      </c>
      <c r="B29" s="9"/>
      <c r="C29" s="9"/>
      <c r="D29" s="9" t="s">
        <v>305</v>
      </c>
      <c r="E29" s="9"/>
      <c r="F29" s="9" t="s">
        <v>306</v>
      </c>
      <c r="G29" s="9"/>
      <c r="H29" s="9"/>
      <c r="I29" s="9"/>
      <c r="J29" s="9"/>
      <c r="K29" s="9"/>
      <c r="L29" s="9"/>
      <c r="M29" s="9"/>
      <c r="N29" s="9"/>
      <c r="O29" s="9"/>
    </row>
    <row r="30" customFormat="false" ht="15" hidden="false" customHeight="true" outlineLevel="0" collapsed="false">
      <c r="A30" s="65" t="n">
        <v>46402</v>
      </c>
      <c r="B30" s="65"/>
      <c r="C30" s="65"/>
      <c r="D30" s="66" t="s">
        <v>307</v>
      </c>
      <c r="E30" s="66"/>
      <c r="F30" s="67" t="s">
        <v>308</v>
      </c>
      <c r="G30" s="67"/>
      <c r="H30" s="67"/>
      <c r="I30" s="67"/>
      <c r="J30" s="67"/>
      <c r="K30" s="67"/>
      <c r="L30" s="67"/>
      <c r="M30" s="67"/>
      <c r="N30" s="67"/>
      <c r="O30" s="67"/>
    </row>
    <row r="31" customFormat="false" ht="15" hidden="false" customHeight="false" outlineLevel="0" collapsed="false">
      <c r="A31" s="68" t="s">
        <v>309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</row>
  </sheetData>
  <mergeCells count="17">
    <mergeCell ref="A1:O1"/>
    <mergeCell ref="A2:O2"/>
    <mergeCell ref="A3:O3"/>
    <mergeCell ref="A4:O4"/>
    <mergeCell ref="A5:O5"/>
    <mergeCell ref="A7:G7"/>
    <mergeCell ref="I7:O7"/>
    <mergeCell ref="A15:G15"/>
    <mergeCell ref="A23:O23"/>
    <mergeCell ref="A28:O28"/>
    <mergeCell ref="A29:C29"/>
    <mergeCell ref="D29:E29"/>
    <mergeCell ref="F29:O29"/>
    <mergeCell ref="A30:C30"/>
    <mergeCell ref="D30:E30"/>
    <mergeCell ref="F30:O30"/>
    <mergeCell ref="A31:O31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Hindu Girls College, Sonipat | Department of Computer Applications | Python Programming – Course Work Plan |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2026-10-27T05:50:09Z</dcterms:created>
  <dc:creator>openpyxl</dc:creator>
  <dc:description/>
  <dc:language>en-US</dc:language>
  <cp:lastModifiedBy/>
  <dcterms:modified xsi:type="dcterms:W3CDTF">2026-10-27T05:50:09Z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